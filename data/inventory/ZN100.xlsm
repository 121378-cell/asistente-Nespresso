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marquez\Desktop\"/>
    </mc:Choice>
  </mc:AlternateContent>
  <xr:revisionPtr revIDLastSave="0" documentId="8_{429F1C65-207B-4086-ADC3-384988A517A6}" xr6:coauthVersionLast="47" xr6:coauthVersionMax="47" xr10:uidLastSave="{00000000-0000-0000-0000-000000000000}"/>
  <bookViews>
    <workbookView xWindow="-120" yWindow="-120" windowWidth="29040" windowHeight="15720" xr2:uid="{B79E1812-FFD6-43E8-B9B4-EE8BEA8E8F16}"/>
  </bookViews>
  <sheets>
    <sheet name="Recanvis Zn" sheetId="1" r:id="rId1"/>
  </sheets>
  <externalReferences>
    <externalReference r:id="rId2"/>
  </externalReferenc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20" i="1" l="1" a="1"/>
  <c r="G920" i="1" s="1"/>
  <c r="G919" i="1" a="1"/>
  <c r="G919" i="1" s="1"/>
  <c r="G918" i="1" a="1"/>
  <c r="G918" i="1" s="1"/>
  <c r="G917" i="1" a="1"/>
  <c r="G917" i="1" s="1"/>
  <c r="G916" i="1" a="1"/>
  <c r="G916" i="1" s="1"/>
  <c r="G915" i="1" a="1"/>
  <c r="G915" i="1" s="1"/>
  <c r="G914" i="1" a="1"/>
  <c r="G914" i="1" s="1"/>
  <c r="G913" i="1" a="1"/>
  <c r="G913" i="1" s="1"/>
  <c r="G912" i="1" a="1"/>
  <c r="G912" i="1" s="1"/>
  <c r="G911" i="1" a="1"/>
  <c r="G911" i="1" s="1"/>
  <c r="G910" i="1" a="1"/>
  <c r="G910" i="1" s="1"/>
  <c r="G909" i="1" a="1"/>
  <c r="G909" i="1" s="1"/>
  <c r="G908" i="1" a="1"/>
  <c r="G908" i="1" s="1"/>
  <c r="G907" i="1" a="1"/>
  <c r="G907" i="1" s="1"/>
  <c r="G906" i="1" a="1"/>
  <c r="G906" i="1" s="1"/>
  <c r="G905" i="1" a="1"/>
  <c r="G905" i="1" s="1"/>
  <c r="G904" i="1" a="1"/>
  <c r="G904" i="1" s="1"/>
  <c r="G903" i="1" a="1"/>
  <c r="G903" i="1" s="1"/>
  <c r="G902" i="1" a="1"/>
  <c r="G902" i="1" s="1"/>
  <c r="G901" i="1" a="1"/>
  <c r="G901" i="1" s="1"/>
  <c r="G900" i="1" a="1"/>
  <c r="G900" i="1" s="1"/>
  <c r="G899" i="1" a="1"/>
  <c r="G899" i="1" s="1"/>
  <c r="G898" i="1" a="1"/>
  <c r="G898" i="1" s="1"/>
  <c r="G897" i="1" a="1"/>
  <c r="G897" i="1" s="1"/>
  <c r="G896" i="1" a="1"/>
  <c r="G896" i="1" s="1"/>
  <c r="G895" i="1" a="1"/>
  <c r="G895" i="1" s="1"/>
  <c r="G894" i="1" a="1"/>
  <c r="G894" i="1" s="1"/>
  <c r="G893" i="1" a="1"/>
  <c r="G893" i="1" s="1"/>
  <c r="G892" i="1" a="1"/>
  <c r="G892" i="1" s="1"/>
  <c r="G891" i="1"/>
  <c r="G891" i="1" a="1"/>
  <c r="G890" i="1"/>
  <c r="G890" i="1" a="1"/>
  <c r="G889" i="1" a="1"/>
  <c r="G889" i="1" s="1"/>
  <c r="G888" i="1" a="1"/>
  <c r="G888" i="1" s="1"/>
  <c r="G887" i="1" a="1"/>
  <c r="G887" i="1" s="1"/>
  <c r="G886" i="1" a="1"/>
  <c r="G886" i="1" s="1"/>
  <c r="G885" i="1"/>
  <c r="G885" i="1" a="1"/>
  <c r="G884" i="1"/>
  <c r="G884" i="1" a="1"/>
  <c r="G883" i="1" a="1"/>
  <c r="G883" i="1" s="1"/>
  <c r="G882" i="1" a="1"/>
  <c r="G882" i="1" s="1"/>
  <c r="G881" i="1" a="1"/>
  <c r="G881" i="1" s="1"/>
  <c r="G880" i="1" a="1"/>
  <c r="G880" i="1" s="1"/>
  <c r="G879" i="1"/>
  <c r="G879" i="1" a="1"/>
  <c r="G878" i="1"/>
  <c r="G878" i="1" a="1"/>
  <c r="G877" i="1" a="1"/>
  <c r="G877" i="1" s="1"/>
  <c r="G876" i="1" a="1"/>
  <c r="G876" i="1" s="1"/>
  <c r="G875" i="1" a="1"/>
  <c r="G875" i="1" s="1"/>
  <c r="G874" i="1" a="1"/>
  <c r="G874" i="1" s="1"/>
  <c r="G873" i="1"/>
  <c r="G873" i="1" a="1"/>
  <c r="G872" i="1"/>
  <c r="G872" i="1" a="1"/>
  <c r="G871" i="1" a="1"/>
  <c r="G871" i="1" s="1"/>
  <c r="G870" i="1" a="1"/>
  <c r="G870" i="1" s="1"/>
  <c r="G869" i="1" a="1"/>
  <c r="G869" i="1" s="1"/>
  <c r="G868" i="1" a="1"/>
  <c r="G868" i="1" s="1"/>
  <c r="G867" i="1"/>
  <c r="G867" i="1" a="1"/>
  <c r="G866" i="1"/>
  <c r="G866" i="1" a="1"/>
  <c r="G865" i="1" a="1"/>
  <c r="G865" i="1" s="1"/>
  <c r="G864" i="1" a="1"/>
  <c r="G864" i="1" s="1"/>
  <c r="G863" i="1" a="1"/>
  <c r="G863" i="1" s="1"/>
  <c r="G862" i="1" a="1"/>
  <c r="G862" i="1" s="1"/>
  <c r="G861" i="1"/>
  <c r="G861" i="1" a="1"/>
  <c r="G860" i="1"/>
  <c r="G860" i="1" a="1"/>
  <c r="G859" i="1" a="1"/>
  <c r="G859" i="1" s="1"/>
  <c r="G858" i="1" a="1"/>
  <c r="G858" i="1" s="1"/>
  <c r="G857" i="1" a="1"/>
  <c r="G857" i="1" s="1"/>
  <c r="G856" i="1" a="1"/>
  <c r="G856" i="1" s="1"/>
  <c r="G855" i="1"/>
  <c r="G855" i="1" a="1"/>
  <c r="G854" i="1"/>
  <c r="G854" i="1" a="1"/>
  <c r="G853" i="1" a="1"/>
  <c r="G853" i="1" s="1"/>
  <c r="G852" i="1" a="1"/>
  <c r="G852" i="1" s="1"/>
  <c r="G851" i="1" a="1"/>
  <c r="G851" i="1" s="1"/>
  <c r="G850" i="1" a="1"/>
  <c r="G850" i="1" s="1"/>
  <c r="G849" i="1"/>
  <c r="G849" i="1" a="1"/>
  <c r="G848" i="1"/>
  <c r="G848" i="1" a="1"/>
  <c r="G847" i="1" a="1"/>
  <c r="G847" i="1" s="1"/>
  <c r="G846" i="1" a="1"/>
  <c r="G846" i="1" s="1"/>
  <c r="G845" i="1" a="1"/>
  <c r="G845" i="1" s="1"/>
  <c r="G844" i="1" a="1"/>
  <c r="G844" i="1" s="1"/>
  <c r="G843" i="1"/>
  <c r="G843" i="1" a="1"/>
  <c r="G842" i="1"/>
  <c r="G842" i="1" a="1"/>
  <c r="G841" i="1" a="1"/>
  <c r="G841" i="1" s="1"/>
  <c r="G840" i="1" a="1"/>
  <c r="G840" i="1" s="1"/>
  <c r="G839" i="1" a="1"/>
  <c r="G839" i="1" s="1"/>
  <c r="G838" i="1" a="1"/>
  <c r="G838" i="1" s="1"/>
  <c r="G837" i="1"/>
  <c r="G837" i="1" a="1"/>
  <c r="G836" i="1"/>
  <c r="G836" i="1" a="1"/>
  <c r="G835" i="1" a="1"/>
  <c r="G835" i="1" s="1"/>
  <c r="G834" i="1" a="1"/>
  <c r="G834" i="1" s="1"/>
  <c r="G833" i="1" a="1"/>
  <c r="G833" i="1" s="1"/>
  <c r="G832" i="1" a="1"/>
  <c r="G832" i="1" s="1"/>
  <c r="G831" i="1"/>
  <c r="G831" i="1" a="1"/>
  <c r="G830" i="1"/>
  <c r="G830" i="1" a="1"/>
  <c r="G829" i="1" a="1"/>
  <c r="G829" i="1" s="1"/>
  <c r="G828" i="1" a="1"/>
  <c r="G828" i="1" s="1"/>
  <c r="G827" i="1" a="1"/>
  <c r="G827" i="1" s="1"/>
  <c r="G826" i="1" a="1"/>
  <c r="G826" i="1" s="1"/>
  <c r="G825" i="1"/>
  <c r="G825" i="1" a="1"/>
  <c r="G824" i="1"/>
  <c r="G824" i="1" a="1"/>
  <c r="G823" i="1" a="1"/>
  <c r="G823" i="1" s="1"/>
  <c r="G822" i="1" a="1"/>
  <c r="G822" i="1" s="1"/>
  <c r="G821" i="1" a="1"/>
  <c r="G821" i="1" s="1"/>
  <c r="G820" i="1" a="1"/>
  <c r="G820" i="1" s="1"/>
  <c r="G819" i="1"/>
  <c r="G819" i="1" a="1"/>
  <c r="G818" i="1"/>
  <c r="G818" i="1" a="1"/>
  <c r="G817" i="1" a="1"/>
  <c r="G817" i="1" s="1"/>
  <c r="G816" i="1"/>
  <c r="G816" i="1" a="1"/>
  <c r="G815" i="1" a="1"/>
  <c r="G815" i="1" s="1"/>
  <c r="G814" i="1" a="1"/>
  <c r="G814" i="1" s="1"/>
  <c r="G813" i="1" a="1"/>
  <c r="G813" i="1" s="1"/>
  <c r="G812" i="1"/>
  <c r="G812" i="1" a="1"/>
  <c r="G811" i="1" a="1"/>
  <c r="G811" i="1" s="1"/>
  <c r="G810" i="1"/>
  <c r="G810" i="1" a="1"/>
  <c r="G809" i="1"/>
  <c r="G809" i="1" a="1"/>
  <c r="G808" i="1" a="1"/>
  <c r="G808" i="1" s="1"/>
  <c r="G807" i="1" a="1"/>
  <c r="G807" i="1" s="1"/>
  <c r="G806" i="1" a="1"/>
  <c r="G806" i="1" s="1"/>
  <c r="G805" i="1" a="1"/>
  <c r="G805" i="1" s="1"/>
  <c r="G804" i="1" a="1"/>
  <c r="G804" i="1" s="1"/>
  <c r="G803" i="1" a="1"/>
  <c r="G803" i="1" s="1"/>
  <c r="G802" i="1" a="1"/>
  <c r="G802" i="1" s="1"/>
  <c r="G801" i="1"/>
  <c r="G801" i="1" a="1"/>
  <c r="G800" i="1" a="1"/>
  <c r="G800" i="1" s="1"/>
  <c r="G799" i="1" a="1"/>
  <c r="G799" i="1" s="1"/>
  <c r="G798" i="1" a="1"/>
  <c r="G798" i="1" s="1"/>
  <c r="G797" i="1" a="1"/>
  <c r="G797" i="1" s="1"/>
  <c r="G796" i="1" a="1"/>
  <c r="G796" i="1" s="1"/>
  <c r="G795" i="1" a="1"/>
  <c r="G795" i="1" s="1"/>
  <c r="G794" i="1"/>
  <c r="G794" i="1" a="1"/>
  <c r="G793" i="1" a="1"/>
  <c r="G793" i="1" s="1"/>
  <c r="G792" i="1" a="1"/>
  <c r="G792" i="1" s="1"/>
  <c r="G791" i="1"/>
  <c r="G791" i="1" a="1"/>
  <c r="G790" i="1" a="1"/>
  <c r="G790" i="1" s="1"/>
  <c r="G789" i="1"/>
  <c r="G789" i="1" a="1"/>
  <c r="G788" i="1" a="1"/>
  <c r="G788" i="1" s="1"/>
  <c r="G787" i="1" a="1"/>
  <c r="G787" i="1" s="1"/>
  <c r="G786" i="1" a="1"/>
  <c r="G786" i="1" s="1"/>
  <c r="G785" i="1"/>
  <c r="G785" i="1" a="1"/>
  <c r="G784" i="1" a="1"/>
  <c r="G784" i="1" s="1"/>
  <c r="G783" i="1"/>
  <c r="G783" i="1" a="1"/>
  <c r="G782" i="1"/>
  <c r="G782" i="1" a="1"/>
  <c r="G781" i="1" a="1"/>
  <c r="G781" i="1" s="1"/>
  <c r="G780" i="1" a="1"/>
  <c r="G780" i="1" s="1"/>
  <c r="G779" i="1" a="1"/>
  <c r="G779" i="1" s="1"/>
  <c r="G778" i="1" a="1"/>
  <c r="G778" i="1" s="1"/>
  <c r="G777" i="1"/>
  <c r="G777" i="1" a="1"/>
  <c r="G776" i="1"/>
  <c r="G776" i="1" a="1"/>
  <c r="G775" i="1" a="1"/>
  <c r="G775" i="1" s="1"/>
  <c r="G774" i="1"/>
  <c r="G774" i="1" a="1"/>
  <c r="G773" i="1"/>
  <c r="G773" i="1" a="1"/>
  <c r="G772" i="1" a="1"/>
  <c r="G772" i="1" s="1"/>
  <c r="G771" i="1" a="1"/>
  <c r="G771" i="1" s="1"/>
  <c r="G770" i="1"/>
  <c r="G770" i="1" a="1"/>
  <c r="G769" i="1" a="1"/>
  <c r="G769" i="1" s="1"/>
  <c r="G768" i="1" a="1"/>
  <c r="G768" i="1" s="1"/>
  <c r="G767" i="1" a="1"/>
  <c r="G767" i="1" s="1"/>
  <c r="G766" i="1" a="1"/>
  <c r="G766" i="1" s="1"/>
  <c r="G765" i="1"/>
  <c r="G765" i="1" a="1"/>
  <c r="G764" i="1"/>
  <c r="G764" i="1" a="1"/>
  <c r="G763" i="1" a="1"/>
  <c r="G763" i="1" s="1"/>
  <c r="G762" i="1"/>
  <c r="G762" i="1" a="1"/>
  <c r="G761" i="1" a="1"/>
  <c r="G761" i="1" s="1"/>
  <c r="G760" i="1" a="1"/>
  <c r="G760" i="1" s="1"/>
  <c r="G759" i="1" a="1"/>
  <c r="G759" i="1" s="1"/>
  <c r="G758" i="1"/>
  <c r="G758" i="1" a="1"/>
  <c r="G757" i="1" a="1"/>
  <c r="G757" i="1" s="1"/>
  <c r="G756" i="1"/>
  <c r="G756" i="1" a="1"/>
  <c r="G755" i="1"/>
  <c r="G755" i="1" a="1"/>
  <c r="G754" i="1" a="1"/>
  <c r="G754" i="1" s="1"/>
  <c r="G753" i="1" a="1"/>
  <c r="G753" i="1" s="1"/>
  <c r="G752" i="1" a="1"/>
  <c r="G752" i="1" s="1"/>
  <c r="G751" i="1" a="1"/>
  <c r="G751" i="1" s="1"/>
  <c r="G750" i="1" a="1"/>
  <c r="G750" i="1" s="1"/>
  <c r="G749" i="1" a="1"/>
  <c r="G749" i="1" s="1"/>
  <c r="G748" i="1" a="1"/>
  <c r="G748" i="1" s="1"/>
  <c r="G747" i="1"/>
  <c r="G747" i="1" a="1"/>
  <c r="G746" i="1"/>
  <c r="G746" i="1" a="1"/>
  <c r="G745" i="1" a="1"/>
  <c r="G745" i="1" s="1"/>
  <c r="G744" i="1" a="1"/>
  <c r="G744" i="1" s="1"/>
  <c r="G743" i="1" a="1"/>
  <c r="G743" i="1" s="1"/>
  <c r="G742" i="1" a="1"/>
  <c r="G742" i="1" s="1"/>
  <c r="G741" i="1" a="1"/>
  <c r="G741" i="1" s="1"/>
  <c r="G740" i="1"/>
  <c r="G740" i="1" a="1"/>
  <c r="G739" i="1" a="1"/>
  <c r="G739" i="1" s="1"/>
  <c r="G738" i="1"/>
  <c r="G738" i="1" a="1"/>
  <c r="G737" i="1"/>
  <c r="G737" i="1" a="1"/>
  <c r="G736" i="1" a="1"/>
  <c r="G736" i="1" s="1"/>
  <c r="G735" i="1"/>
  <c r="G735" i="1" a="1"/>
  <c r="G734" i="1" a="1"/>
  <c r="G734" i="1" s="1"/>
  <c r="G733" i="1" a="1"/>
  <c r="G733" i="1" s="1"/>
  <c r="G732" i="1" a="1"/>
  <c r="G732" i="1" s="1"/>
  <c r="G731" i="1"/>
  <c r="G731" i="1" a="1"/>
  <c r="G730" i="1" a="1"/>
  <c r="G730" i="1" s="1"/>
  <c r="G729" i="1"/>
  <c r="G729" i="1" a="1"/>
  <c r="G728" i="1" a="1"/>
  <c r="G728" i="1" s="1"/>
  <c r="G727" i="1" a="1"/>
  <c r="G727" i="1" s="1"/>
  <c r="G726" i="1" a="1"/>
  <c r="G726" i="1" s="1"/>
  <c r="G725" i="1" a="1"/>
  <c r="G725" i="1" s="1"/>
  <c r="G724" i="1" a="1"/>
  <c r="G724" i="1" s="1"/>
  <c r="G723" i="1"/>
  <c r="G723" i="1" a="1"/>
  <c r="G722" i="1"/>
  <c r="G722" i="1" a="1"/>
  <c r="G721" i="1" a="1"/>
  <c r="G721" i="1" s="1"/>
  <c r="G720" i="1" a="1"/>
  <c r="G720" i="1" s="1"/>
  <c r="G719" i="1"/>
  <c r="G719" i="1" a="1"/>
  <c r="G718" i="1" a="1"/>
  <c r="G718" i="1" s="1"/>
  <c r="G717" i="1" a="1"/>
  <c r="G717" i="1" s="1"/>
  <c r="G716" i="1"/>
  <c r="G716" i="1" a="1"/>
  <c r="G715" i="1" a="1"/>
  <c r="G715" i="1" s="1"/>
  <c r="G714" i="1" a="1"/>
  <c r="G714" i="1" s="1"/>
  <c r="G713" i="1" a="1"/>
  <c r="G713" i="1" s="1"/>
  <c r="G712" i="1" a="1"/>
  <c r="G712" i="1" s="1"/>
  <c r="G711" i="1"/>
  <c r="G711" i="1" a="1"/>
  <c r="G710" i="1"/>
  <c r="G710" i="1" a="1"/>
  <c r="G709" i="1" a="1"/>
  <c r="G709" i="1" s="1"/>
  <c r="G708" i="1"/>
  <c r="G708" i="1" a="1"/>
  <c r="G707" i="1" a="1"/>
  <c r="G707" i="1" s="1"/>
  <c r="G706" i="1" a="1"/>
  <c r="G706" i="1" s="1"/>
  <c r="G705" i="1" a="1"/>
  <c r="G705" i="1" s="1"/>
  <c r="G704" i="1"/>
  <c r="G704" i="1" a="1"/>
  <c r="G703" i="1" a="1"/>
  <c r="G703" i="1" s="1"/>
  <c r="G702" i="1"/>
  <c r="G702" i="1" a="1"/>
  <c r="G701" i="1" a="1"/>
  <c r="G701" i="1" s="1"/>
  <c r="G700" i="1" a="1"/>
  <c r="G700" i="1" s="1"/>
  <c r="G699" i="1" a="1"/>
  <c r="G699" i="1" s="1"/>
  <c r="G698" i="1" a="1"/>
  <c r="G698" i="1" s="1"/>
  <c r="G697" i="1" a="1"/>
  <c r="G697" i="1" s="1"/>
  <c r="G696" i="1" a="1"/>
  <c r="G696" i="1" s="1"/>
  <c r="G695" i="1" a="1"/>
  <c r="G695" i="1" s="1"/>
  <c r="G694" i="1" a="1"/>
  <c r="G694" i="1" s="1"/>
  <c r="G693" i="1"/>
  <c r="G693" i="1" a="1"/>
  <c r="G692" i="1"/>
  <c r="G692" i="1" a="1"/>
  <c r="G691" i="1" a="1"/>
  <c r="G691" i="1" s="1"/>
  <c r="G690" i="1" a="1"/>
  <c r="G690" i="1" s="1"/>
  <c r="G689" i="1" a="1"/>
  <c r="G689" i="1" s="1"/>
  <c r="G688" i="1" a="1"/>
  <c r="G688" i="1" s="1"/>
  <c r="G687" i="1" a="1"/>
  <c r="G687" i="1" s="1"/>
  <c r="G686" i="1"/>
  <c r="G686" i="1" a="1"/>
  <c r="G685" i="1" a="1"/>
  <c r="G685" i="1" s="1"/>
  <c r="G684" i="1"/>
  <c r="G684" i="1" a="1"/>
  <c r="G683" i="1"/>
  <c r="G683" i="1" a="1"/>
  <c r="G682" i="1" a="1"/>
  <c r="G682" i="1" s="1"/>
  <c r="G681" i="1"/>
  <c r="G681" i="1" a="1"/>
  <c r="G680" i="1" a="1"/>
  <c r="G680" i="1" s="1"/>
  <c r="G679" i="1" a="1"/>
  <c r="G679" i="1" s="1"/>
  <c r="G678" i="1" a="1"/>
  <c r="G678" i="1" s="1"/>
  <c r="G677" i="1"/>
  <c r="G677" i="1" a="1"/>
  <c r="G676" i="1" a="1"/>
  <c r="G676" i="1" s="1"/>
  <c r="G675" i="1"/>
  <c r="G675" i="1" a="1"/>
  <c r="G674" i="1" a="1"/>
  <c r="G674" i="1" s="1"/>
  <c r="G673" i="1" a="1"/>
  <c r="G673" i="1" s="1"/>
  <c r="G672" i="1" a="1"/>
  <c r="G672" i="1" s="1"/>
  <c r="G671" i="1" a="1"/>
  <c r="G671" i="1" s="1"/>
  <c r="G670" i="1" a="1"/>
  <c r="G670" i="1" s="1"/>
  <c r="G669" i="1"/>
  <c r="G669" i="1" a="1"/>
  <c r="G668" i="1"/>
  <c r="G668" i="1" a="1"/>
  <c r="G667" i="1" a="1"/>
  <c r="G667" i="1" s="1"/>
  <c r="G666" i="1" a="1"/>
  <c r="G666" i="1" s="1"/>
  <c r="G665" i="1"/>
  <c r="G665" i="1" a="1"/>
  <c r="G664" i="1" a="1"/>
  <c r="G664" i="1" s="1"/>
  <c r="G663" i="1" a="1"/>
  <c r="G663" i="1" s="1"/>
  <c r="G662" i="1"/>
  <c r="G662" i="1" a="1"/>
  <c r="G661" i="1" a="1"/>
  <c r="G661" i="1" s="1"/>
  <c r="G660" i="1"/>
  <c r="G660" i="1" a="1"/>
  <c r="G659" i="1" a="1"/>
  <c r="G659" i="1" s="1"/>
  <c r="G658" i="1" a="1"/>
  <c r="G658" i="1" s="1"/>
  <c r="G657" i="1" a="1"/>
  <c r="G657" i="1" s="1"/>
  <c r="G656" i="1" a="1"/>
  <c r="G656" i="1" s="1"/>
  <c r="G655" i="1" a="1"/>
  <c r="G655" i="1" s="1"/>
  <c r="G654" i="1"/>
  <c r="G654" i="1" a="1"/>
  <c r="G653" i="1"/>
  <c r="G653" i="1" a="1"/>
  <c r="G652" i="1" a="1"/>
  <c r="G652" i="1" s="1"/>
  <c r="G651" i="1"/>
  <c r="G651" i="1" a="1"/>
  <c r="G650" i="1" a="1"/>
  <c r="G650" i="1" s="1"/>
  <c r="G649" i="1" a="1"/>
  <c r="G649" i="1" s="1"/>
  <c r="G648" i="1" a="1"/>
  <c r="G648" i="1" s="1"/>
  <c r="G647" i="1"/>
  <c r="G647" i="1" a="1"/>
  <c r="G646" i="1" a="1"/>
  <c r="G646" i="1" s="1"/>
  <c r="G645" i="1" a="1"/>
  <c r="G645" i="1" s="1"/>
  <c r="G644" i="1"/>
  <c r="G644" i="1" a="1"/>
  <c r="G643" i="1" a="1"/>
  <c r="G643" i="1" s="1"/>
  <c r="G642" i="1"/>
  <c r="G642" i="1" a="1"/>
  <c r="G641" i="1" a="1"/>
  <c r="G641" i="1" s="1"/>
  <c r="G640" i="1" a="1"/>
  <c r="G640" i="1" s="1"/>
  <c r="G639" i="1" a="1"/>
  <c r="G639" i="1" s="1"/>
  <c r="G638" i="1" a="1"/>
  <c r="G638" i="1" s="1"/>
  <c r="G637" i="1" a="1"/>
  <c r="G637" i="1" s="1"/>
  <c r="G636" i="1"/>
  <c r="G636" i="1" a="1"/>
  <c r="G635" i="1"/>
  <c r="G635" i="1" a="1"/>
  <c r="G634" i="1" a="1"/>
  <c r="G634" i="1" s="1"/>
  <c r="G633" i="1"/>
  <c r="G633" i="1" a="1"/>
  <c r="G632" i="1" a="1"/>
  <c r="G632" i="1" s="1"/>
  <c r="G631" i="1" a="1"/>
  <c r="G631" i="1" s="1"/>
  <c r="G630" i="1" a="1"/>
  <c r="G630" i="1" s="1"/>
  <c r="G629" i="1"/>
  <c r="G629" i="1" a="1"/>
  <c r="G628" i="1" a="1"/>
  <c r="G628" i="1" s="1"/>
  <c r="G627" i="1" a="1"/>
  <c r="G627" i="1" s="1"/>
  <c r="G626" i="1"/>
  <c r="G626" i="1" a="1"/>
  <c r="G625" i="1" a="1"/>
  <c r="G625" i="1" s="1"/>
  <c r="G624" i="1"/>
  <c r="G624" i="1" a="1"/>
  <c r="G623" i="1" a="1"/>
  <c r="G623" i="1" s="1"/>
  <c r="G622" i="1" a="1"/>
  <c r="G622" i="1" s="1"/>
  <c r="G621" i="1" a="1"/>
  <c r="G621" i="1" s="1"/>
  <c r="G620" i="1" a="1"/>
  <c r="G620" i="1" s="1"/>
  <c r="G619" i="1" a="1"/>
  <c r="G619" i="1" s="1"/>
  <c r="G618" i="1"/>
  <c r="G618" i="1" a="1"/>
  <c r="G617" i="1"/>
  <c r="G617" i="1" a="1"/>
  <c r="G616" i="1" a="1"/>
  <c r="G616" i="1" s="1"/>
  <c r="G615" i="1"/>
  <c r="G615" i="1" a="1"/>
  <c r="G614" i="1" a="1"/>
  <c r="G614" i="1" s="1"/>
  <c r="G613" i="1" a="1"/>
  <c r="G613" i="1" s="1"/>
  <c r="G612" i="1" a="1"/>
  <c r="G612" i="1" s="1"/>
  <c r="G611" i="1"/>
  <c r="G611" i="1" a="1"/>
  <c r="G610" i="1" a="1"/>
  <c r="G610" i="1" s="1"/>
  <c r="G609" i="1" a="1"/>
  <c r="G609" i="1" s="1"/>
  <c r="G608" i="1"/>
  <c r="G608" i="1" a="1"/>
  <c r="G607" i="1" a="1"/>
  <c r="G607" i="1" s="1"/>
  <c r="G606" i="1"/>
  <c r="G606" i="1" a="1"/>
  <c r="G605" i="1" a="1"/>
  <c r="G605" i="1" s="1"/>
  <c r="G604" i="1" a="1"/>
  <c r="G604" i="1" s="1"/>
  <c r="G603" i="1" a="1"/>
  <c r="G603" i="1" s="1"/>
  <c r="G602" i="1" a="1"/>
  <c r="G602" i="1" s="1"/>
  <c r="G601" i="1" a="1"/>
  <c r="G601" i="1" s="1"/>
  <c r="G600" i="1"/>
  <c r="G600" i="1" a="1"/>
  <c r="G599" i="1"/>
  <c r="G599" i="1" a="1"/>
  <c r="G598" i="1" a="1"/>
  <c r="G598" i="1" s="1"/>
  <c r="G597" i="1"/>
  <c r="G597" i="1" a="1"/>
  <c r="G596" i="1" a="1"/>
  <c r="G596" i="1" s="1"/>
  <c r="G595" i="1" a="1"/>
  <c r="G595" i="1" s="1"/>
  <c r="G594" i="1" a="1"/>
  <c r="G594" i="1" s="1"/>
  <c r="G593" i="1"/>
  <c r="G593" i="1" a="1"/>
  <c r="G592" i="1" a="1"/>
  <c r="G592" i="1" s="1"/>
  <c r="G591" i="1" a="1"/>
  <c r="G591" i="1" s="1"/>
  <c r="G590" i="1"/>
  <c r="G590" i="1" a="1"/>
  <c r="G589" i="1" a="1"/>
  <c r="G589" i="1" s="1"/>
  <c r="G588" i="1"/>
  <c r="G588" i="1" a="1"/>
  <c r="G587" i="1" a="1"/>
  <c r="G587" i="1" s="1"/>
  <c r="G586" i="1" a="1"/>
  <c r="G586" i="1" s="1"/>
  <c r="G585" i="1" a="1"/>
  <c r="G585" i="1" s="1"/>
  <c r="G584" i="1" a="1"/>
  <c r="G584" i="1" s="1"/>
  <c r="G583" i="1" a="1"/>
  <c r="G583" i="1" s="1"/>
  <c r="G582" i="1"/>
  <c r="G582" i="1" a="1"/>
  <c r="G581" i="1"/>
  <c r="G581" i="1" a="1"/>
  <c r="G580" i="1" a="1"/>
  <c r="G580" i="1" s="1"/>
  <c r="G579" i="1"/>
  <c r="G579" i="1" a="1"/>
  <c r="G578" i="1" a="1"/>
  <c r="G578" i="1" s="1"/>
  <c r="G577" i="1" a="1"/>
  <c r="G577" i="1" s="1"/>
  <c r="G576" i="1" a="1"/>
  <c r="G576" i="1" s="1"/>
  <c r="G575" i="1"/>
  <c r="G575" i="1" a="1"/>
  <c r="G574" i="1" a="1"/>
  <c r="G574" i="1" s="1"/>
  <c r="G573" i="1" a="1"/>
  <c r="G573" i="1" s="1"/>
  <c r="G572" i="1"/>
  <c r="G572" i="1" a="1"/>
  <c r="G571" i="1" a="1"/>
  <c r="G571" i="1" s="1"/>
  <c r="G570" i="1"/>
  <c r="G570" i="1" a="1"/>
  <c r="G569" i="1" a="1"/>
  <c r="G569" i="1" s="1"/>
  <c r="G568" i="1" a="1"/>
  <c r="G568" i="1" s="1"/>
  <c r="G567" i="1" a="1"/>
  <c r="G567" i="1" s="1"/>
  <c r="G566" i="1" a="1"/>
  <c r="G566" i="1" s="1"/>
  <c r="G565" i="1" a="1"/>
  <c r="G565" i="1" s="1"/>
  <c r="G564" i="1"/>
  <c r="G564" i="1" a="1"/>
  <c r="G563" i="1"/>
  <c r="G563" i="1" a="1"/>
  <c r="G562" i="1" a="1"/>
  <c r="G562" i="1" s="1"/>
  <c r="G561" i="1"/>
  <c r="G561" i="1" a="1"/>
  <c r="G560" i="1" a="1"/>
  <c r="G560" i="1" s="1"/>
  <c r="G559" i="1" a="1"/>
  <c r="G559" i="1" s="1"/>
  <c r="G558" i="1" a="1"/>
  <c r="G558" i="1" s="1"/>
  <c r="G557" i="1"/>
  <c r="G557" i="1" a="1"/>
  <c r="G556" i="1" a="1"/>
  <c r="G556" i="1" s="1"/>
  <c r="G555" i="1" a="1"/>
  <c r="G555" i="1" s="1"/>
  <c r="G554" i="1"/>
  <c r="G554" i="1" a="1"/>
  <c r="G553" i="1" a="1"/>
  <c r="G553" i="1" s="1"/>
  <c r="G552" i="1"/>
  <c r="G552" i="1" a="1"/>
  <c r="G551" i="1" a="1"/>
  <c r="G551" i="1" s="1"/>
  <c r="G550" i="1" a="1"/>
  <c r="G550" i="1" s="1"/>
  <c r="G549" i="1" a="1"/>
  <c r="G549" i="1" s="1"/>
  <c r="G548" i="1" a="1"/>
  <c r="G548" i="1" s="1"/>
  <c r="G547" i="1" a="1"/>
  <c r="G547" i="1" s="1"/>
  <c r="G546" i="1"/>
  <c r="G546" i="1" a="1"/>
  <c r="G545" i="1"/>
  <c r="G545" i="1" a="1"/>
  <c r="G544" i="1" a="1"/>
  <c r="G544" i="1" s="1"/>
  <c r="G543" i="1"/>
  <c r="G543" i="1" a="1"/>
  <c r="G542" i="1" a="1"/>
  <c r="G542" i="1" s="1"/>
  <c r="G541" i="1" a="1"/>
  <c r="G541" i="1" s="1"/>
  <c r="G540" i="1" a="1"/>
  <c r="G540" i="1" s="1"/>
  <c r="G539" i="1"/>
  <c r="G539" i="1" a="1"/>
  <c r="G538" i="1" a="1"/>
  <c r="G538" i="1" s="1"/>
  <c r="G537" i="1" a="1"/>
  <c r="G537" i="1" s="1"/>
  <c r="G536" i="1"/>
  <c r="G536" i="1" a="1"/>
  <c r="G535" i="1" a="1"/>
  <c r="G535" i="1" s="1"/>
  <c r="G534" i="1"/>
  <c r="G534" i="1" a="1"/>
  <c r="G533" i="1" a="1"/>
  <c r="G533" i="1" s="1"/>
  <c r="G532" i="1" a="1"/>
  <c r="G532" i="1" s="1"/>
  <c r="G531" i="1" a="1"/>
  <c r="G531" i="1" s="1"/>
  <c r="G530" i="1" a="1"/>
  <c r="G530" i="1" s="1"/>
  <c r="G529" i="1" a="1"/>
  <c r="G529" i="1" s="1"/>
  <c r="G528" i="1"/>
  <c r="G528" i="1" a="1"/>
  <c r="G527" i="1"/>
  <c r="G527" i="1" a="1"/>
  <c r="G526" i="1" a="1"/>
  <c r="G526" i="1" s="1"/>
  <c r="G525" i="1"/>
  <c r="G525" i="1" a="1"/>
  <c r="G524" i="1" a="1"/>
  <c r="G524" i="1" s="1"/>
  <c r="G523" i="1" a="1"/>
  <c r="G523" i="1" s="1"/>
  <c r="G522" i="1" a="1"/>
  <c r="G522" i="1" s="1"/>
  <c r="G521" i="1"/>
  <c r="G521" i="1" a="1"/>
  <c r="G520" i="1" a="1"/>
  <c r="G520" i="1" s="1"/>
  <c r="G519" i="1" a="1"/>
  <c r="G519" i="1" s="1"/>
  <c r="G518" i="1" a="1"/>
  <c r="G518" i="1" s="1"/>
  <c r="G517" i="1" a="1"/>
  <c r="G517" i="1" s="1"/>
  <c r="G516" i="1"/>
  <c r="G516" i="1" a="1"/>
  <c r="G515" i="1" a="1"/>
  <c r="G515" i="1" s="1"/>
  <c r="G514" i="1" a="1"/>
  <c r="G514" i="1" s="1"/>
  <c r="G513" i="1" a="1"/>
  <c r="G513" i="1" s="1"/>
  <c r="G512" i="1" a="1"/>
  <c r="G512" i="1" s="1"/>
  <c r="G511" i="1" a="1"/>
  <c r="G511" i="1" s="1"/>
  <c r="G510" i="1"/>
  <c r="G510" i="1" a="1"/>
  <c r="G509" i="1"/>
  <c r="G509" i="1" a="1"/>
  <c r="G508" i="1" a="1"/>
  <c r="G508" i="1" s="1"/>
  <c r="G507" i="1" a="1"/>
  <c r="G507" i="1" s="1"/>
  <c r="G506" i="1" a="1"/>
  <c r="G506" i="1" s="1"/>
  <c r="G505" i="1" a="1"/>
  <c r="G505" i="1" s="1"/>
  <c r="G504" i="1" a="1"/>
  <c r="G504" i="1" s="1"/>
  <c r="G503" i="1"/>
  <c r="G503" i="1" a="1"/>
  <c r="G502" i="1" a="1"/>
  <c r="G502" i="1" s="1"/>
  <c r="G501" i="1"/>
  <c r="G501" i="1" a="1"/>
  <c r="G500" i="1"/>
  <c r="G500" i="1" a="1"/>
  <c r="G499" i="1" a="1"/>
  <c r="G499" i="1" s="1"/>
  <c r="G498" i="1"/>
  <c r="G498" i="1" a="1"/>
  <c r="G497" i="1" a="1"/>
  <c r="G497" i="1" s="1"/>
  <c r="G496" i="1" a="1"/>
  <c r="G496" i="1" s="1"/>
  <c r="G495" i="1" a="1"/>
  <c r="G495" i="1" s="1"/>
  <c r="G494" i="1"/>
  <c r="G494" i="1" a="1"/>
  <c r="G493" i="1" a="1"/>
  <c r="G493" i="1" s="1"/>
  <c r="G492" i="1" a="1"/>
  <c r="G492" i="1" s="1"/>
  <c r="G491" i="1" a="1"/>
  <c r="G491" i="1" s="1"/>
  <c r="G490" i="1"/>
  <c r="G490" i="1" a="1"/>
  <c r="G489" i="1" a="1"/>
  <c r="G489" i="1" s="1"/>
  <c r="G488" i="1" a="1"/>
  <c r="G488" i="1" s="1"/>
  <c r="G487" i="1"/>
  <c r="G487" i="1" a="1"/>
  <c r="G486" i="1" a="1"/>
  <c r="G486" i="1" s="1"/>
  <c r="G485" i="1"/>
  <c r="G485" i="1" a="1"/>
  <c r="G484" i="1" a="1"/>
  <c r="G484" i="1" s="1"/>
  <c r="G483" i="1" a="1"/>
  <c r="G483" i="1" s="1"/>
  <c r="G482" i="1" a="1"/>
  <c r="G482" i="1" s="1"/>
  <c r="G481" i="1" a="1"/>
  <c r="G481" i="1" s="1"/>
  <c r="G480" i="1" a="1"/>
  <c r="G480" i="1" s="1"/>
  <c r="G479" i="1"/>
  <c r="G479" i="1" a="1"/>
  <c r="G478" i="1"/>
  <c r="G478" i="1" a="1"/>
  <c r="G477" i="1" a="1"/>
  <c r="G477" i="1" s="1"/>
  <c r="G476" i="1"/>
  <c r="G476" i="1" a="1"/>
  <c r="G475" i="1" a="1"/>
  <c r="G475" i="1" s="1"/>
  <c r="G474" i="1" a="1"/>
  <c r="G474" i="1" s="1"/>
  <c r="G473" i="1" a="1"/>
  <c r="G473" i="1" s="1"/>
  <c r="G472" i="1"/>
  <c r="G472" i="1" a="1"/>
  <c r="G471" i="1" a="1"/>
  <c r="G471" i="1" s="1"/>
  <c r="G470" i="1" a="1"/>
  <c r="G470" i="1" s="1"/>
  <c r="G469" i="1"/>
  <c r="G469" i="1" a="1"/>
  <c r="G468" i="1" a="1"/>
  <c r="G468" i="1" s="1"/>
  <c r="G467" i="1"/>
  <c r="G467" i="1" a="1"/>
  <c r="G466" i="1" a="1"/>
  <c r="G466" i="1" s="1"/>
  <c r="G465" i="1" a="1"/>
  <c r="G465" i="1" s="1"/>
  <c r="G464" i="1" a="1"/>
  <c r="G464" i="1" s="1"/>
  <c r="G463" i="1" a="1"/>
  <c r="G463" i="1" s="1"/>
  <c r="G462" i="1" a="1"/>
  <c r="G462" i="1" s="1"/>
  <c r="G461" i="1"/>
  <c r="G461" i="1" a="1"/>
  <c r="G460" i="1"/>
  <c r="G460" i="1" a="1"/>
  <c r="G459" i="1" a="1"/>
  <c r="G459" i="1" s="1"/>
  <c r="G458" i="1" a="1"/>
  <c r="G458" i="1" s="1"/>
  <c r="G457" i="1" a="1"/>
  <c r="G457" i="1" s="1"/>
  <c r="G456" i="1" a="1"/>
  <c r="G456" i="1" s="1"/>
  <c r="G455" i="1" a="1"/>
  <c r="G455" i="1" s="1"/>
  <c r="G454" i="1"/>
  <c r="G454" i="1" a="1"/>
  <c r="G453" i="1" a="1"/>
  <c r="G453" i="1" s="1"/>
  <c r="G452" i="1" a="1"/>
  <c r="G452" i="1" s="1"/>
  <c r="G451" i="1" a="1"/>
  <c r="G451" i="1" s="1"/>
  <c r="G450" i="1" a="1"/>
  <c r="G450" i="1" s="1"/>
  <c r="G449" i="1"/>
  <c r="G449" i="1" a="1"/>
  <c r="G448" i="1" a="1"/>
  <c r="G448" i="1" s="1"/>
  <c r="G447" i="1" a="1"/>
  <c r="G447" i="1" s="1"/>
  <c r="G446" i="1" a="1"/>
  <c r="G446" i="1" s="1"/>
  <c r="G445" i="1"/>
  <c r="G445" i="1" a="1"/>
  <c r="G444" i="1" a="1"/>
  <c r="G444" i="1" s="1"/>
  <c r="G443" i="1"/>
  <c r="G443" i="1" a="1"/>
  <c r="G442" i="1"/>
  <c r="G442" i="1" a="1"/>
  <c r="G441" i="1" a="1"/>
  <c r="G441" i="1" s="1"/>
  <c r="G440" i="1" a="1"/>
  <c r="G440" i="1" s="1"/>
  <c r="G439" i="1" a="1"/>
  <c r="G439" i="1" s="1"/>
  <c r="G438" i="1" a="1"/>
  <c r="G438" i="1" s="1"/>
  <c r="G437" i="1" a="1"/>
  <c r="G437" i="1" s="1"/>
  <c r="G436" i="1"/>
  <c r="G436" i="1" a="1"/>
  <c r="G435" i="1" a="1"/>
  <c r="G435" i="1" s="1"/>
  <c r="G434" i="1"/>
  <c r="G434" i="1" a="1"/>
  <c r="G433" i="1" a="1"/>
  <c r="G433" i="1" s="1"/>
  <c r="G432" i="1" a="1"/>
  <c r="G432" i="1" s="1"/>
  <c r="G431" i="1"/>
  <c r="G431" i="1" a="1"/>
  <c r="G430" i="1" a="1"/>
  <c r="G430" i="1" s="1"/>
  <c r="G429" i="1" a="1"/>
  <c r="G429" i="1" s="1"/>
  <c r="G428" i="1" a="1"/>
  <c r="G428" i="1" s="1"/>
  <c r="G427" i="1"/>
  <c r="G427" i="1" a="1"/>
  <c r="G426" i="1" a="1"/>
  <c r="G426" i="1" s="1"/>
  <c r="G425" i="1"/>
  <c r="G425" i="1" a="1"/>
  <c r="G424" i="1"/>
  <c r="G424" i="1" a="1"/>
  <c r="G423" i="1" a="1"/>
  <c r="G423" i="1" s="1"/>
  <c r="G422" i="1" a="1"/>
  <c r="G422" i="1" s="1"/>
  <c r="G421" i="1" a="1"/>
  <c r="G421" i="1" s="1"/>
  <c r="G420" i="1" a="1"/>
  <c r="G420" i="1" s="1"/>
  <c r="G419" i="1" a="1"/>
  <c r="G419" i="1" s="1"/>
  <c r="G418" i="1"/>
  <c r="G418" i="1" a="1"/>
  <c r="G417" i="1" a="1"/>
  <c r="G417" i="1" s="1"/>
  <c r="G416" i="1"/>
  <c r="G416" i="1" a="1"/>
  <c r="G415" i="1" a="1"/>
  <c r="G415" i="1" s="1"/>
  <c r="G414" i="1" a="1"/>
  <c r="G414" i="1" s="1"/>
  <c r="G413" i="1"/>
  <c r="G413" i="1" a="1"/>
  <c r="G412" i="1" a="1"/>
  <c r="G412" i="1" s="1"/>
  <c r="G411" i="1" a="1"/>
  <c r="G411" i="1" s="1"/>
  <c r="G410" i="1" a="1"/>
  <c r="G410" i="1" s="1"/>
  <c r="G409" i="1"/>
  <c r="G409" i="1" a="1"/>
  <c r="G408" i="1" a="1"/>
  <c r="G408" i="1" s="1"/>
  <c r="G407" i="1"/>
  <c r="G407" i="1" a="1"/>
  <c r="G406" i="1"/>
  <c r="G406" i="1" a="1"/>
  <c r="G405" i="1" a="1"/>
  <c r="G405" i="1" s="1"/>
  <c r="G404" i="1" a="1"/>
  <c r="G404" i="1" s="1"/>
  <c r="G403" i="1" a="1"/>
  <c r="G403" i="1" s="1"/>
  <c r="G402" i="1" a="1"/>
  <c r="G402" i="1" s="1"/>
  <c r="G401" i="1" a="1"/>
  <c r="G401" i="1" s="1"/>
  <c r="G400" i="1"/>
  <c r="G400" i="1" a="1"/>
  <c r="G399" i="1" a="1"/>
  <c r="G399" i="1" s="1"/>
  <c r="G398" i="1"/>
  <c r="G398" i="1" a="1"/>
  <c r="G397" i="1" a="1"/>
  <c r="G397" i="1" s="1"/>
  <c r="G396" i="1" a="1"/>
  <c r="G396" i="1" s="1"/>
  <c r="G395" i="1"/>
  <c r="G395" i="1" a="1"/>
  <c r="G394" i="1" a="1"/>
  <c r="G394" i="1" s="1"/>
  <c r="G393" i="1" a="1"/>
  <c r="G393" i="1" s="1"/>
  <c r="G392" i="1" a="1"/>
  <c r="G392" i="1" s="1"/>
  <c r="G391" i="1"/>
  <c r="G391" i="1" a="1"/>
  <c r="G390" i="1" a="1"/>
  <c r="G390" i="1" s="1"/>
  <c r="G389" i="1"/>
  <c r="G389" i="1" a="1"/>
  <c r="G388" i="1"/>
  <c r="G388" i="1" a="1"/>
  <c r="G387" i="1" a="1"/>
  <c r="G387" i="1" s="1"/>
  <c r="G386" i="1" a="1"/>
  <c r="G386" i="1" s="1"/>
  <c r="G385" i="1" a="1"/>
  <c r="G385" i="1" s="1"/>
  <c r="G384" i="1" a="1"/>
  <c r="G384" i="1" s="1"/>
  <c r="G383" i="1" a="1"/>
  <c r="G383" i="1" s="1"/>
  <c r="G382" i="1"/>
  <c r="G382" i="1" a="1"/>
  <c r="G381" i="1" a="1"/>
  <c r="G381" i="1" s="1"/>
  <c r="G380" i="1"/>
  <c r="G380" i="1" a="1"/>
  <c r="G379" i="1" a="1"/>
  <c r="G379" i="1" s="1"/>
  <c r="G378" i="1" a="1"/>
  <c r="G378" i="1" s="1"/>
  <c r="G377" i="1"/>
  <c r="G377" i="1" a="1"/>
  <c r="G376" i="1" a="1"/>
  <c r="G376" i="1" s="1"/>
  <c r="G375" i="1" a="1"/>
  <c r="G375" i="1" s="1"/>
  <c r="G374" i="1" a="1"/>
  <c r="G374" i="1" s="1"/>
  <c r="G373" i="1"/>
  <c r="G373" i="1" a="1"/>
  <c r="G372" i="1" a="1"/>
  <c r="G372" i="1" s="1"/>
  <c r="G371" i="1"/>
  <c r="G371" i="1" a="1"/>
  <c r="G370" i="1"/>
  <c r="G370" i="1" a="1"/>
  <c r="G369" i="1" a="1"/>
  <c r="G369" i="1" s="1"/>
  <c r="G368" i="1" a="1"/>
  <c r="G368" i="1" s="1"/>
  <c r="G367" i="1" a="1"/>
  <c r="G367" i="1" s="1"/>
  <c r="G366" i="1" a="1"/>
  <c r="G366" i="1" s="1"/>
  <c r="G365" i="1" a="1"/>
  <c r="G365" i="1" s="1"/>
  <c r="G364" i="1"/>
  <c r="G364" i="1" a="1"/>
  <c r="G363" i="1" a="1"/>
  <c r="G363" i="1" s="1"/>
  <c r="G362" i="1"/>
  <c r="G362" i="1" a="1"/>
  <c r="G361" i="1" a="1"/>
  <c r="G361" i="1" s="1"/>
  <c r="G360" i="1" a="1"/>
  <c r="G360" i="1" s="1"/>
  <c r="G359" i="1"/>
  <c r="G359" i="1" a="1"/>
  <c r="G358" i="1" a="1"/>
  <c r="G358" i="1" s="1"/>
  <c r="G357" i="1" a="1"/>
  <c r="G357" i="1" s="1"/>
  <c r="G356" i="1" a="1"/>
  <c r="G356" i="1" s="1"/>
  <c r="G355" i="1"/>
  <c r="G355" i="1" a="1"/>
  <c r="G354" i="1" a="1"/>
  <c r="G354" i="1" s="1"/>
  <c r="G353" i="1"/>
  <c r="G353" i="1" a="1"/>
  <c r="G352" i="1"/>
  <c r="G352" i="1" a="1"/>
  <c r="G351" i="1" a="1"/>
  <c r="G351" i="1" s="1"/>
  <c r="G350" i="1" a="1"/>
  <c r="G350" i="1" s="1"/>
  <c r="G349" i="1" a="1"/>
  <c r="G349" i="1" s="1"/>
  <c r="G348" i="1" a="1"/>
  <c r="G348" i="1" s="1"/>
  <c r="G347" i="1" a="1"/>
  <c r="G347" i="1" s="1"/>
  <c r="G346" i="1"/>
  <c r="G346" i="1" a="1"/>
  <c r="G345" i="1" a="1"/>
  <c r="G345" i="1" s="1"/>
  <c r="G344" i="1"/>
  <c r="G344" i="1" a="1"/>
  <c r="G343" i="1" a="1"/>
  <c r="G343" i="1" s="1"/>
  <c r="G342" i="1" a="1"/>
  <c r="G342" i="1" s="1"/>
  <c r="G341" i="1"/>
  <c r="G341" i="1" a="1"/>
  <c r="G340" i="1" a="1"/>
  <c r="G340" i="1" s="1"/>
  <c r="G339" i="1"/>
  <c r="G339" i="1" a="1"/>
  <c r="G338" i="1"/>
  <c r="G338" i="1" a="1"/>
  <c r="G337" i="1" a="1"/>
  <c r="G337" i="1" s="1"/>
  <c r="G336" i="1"/>
  <c r="G336" i="1" a="1"/>
  <c r="G335" i="1"/>
  <c r="G335" i="1" a="1"/>
  <c r="G334" i="1" a="1"/>
  <c r="G334" i="1" s="1"/>
  <c r="G333" i="1"/>
  <c r="G333" i="1" a="1"/>
  <c r="G332" i="1"/>
  <c r="G332" i="1" a="1"/>
  <c r="G331" i="1" a="1"/>
  <c r="G331" i="1" s="1"/>
  <c r="G330" i="1"/>
  <c r="G330" i="1" a="1"/>
  <c r="G329" i="1"/>
  <c r="G329" i="1" a="1"/>
  <c r="G328" i="1" a="1"/>
  <c r="G328" i="1" s="1"/>
  <c r="G327" i="1"/>
  <c r="G327" i="1" a="1"/>
  <c r="G326" i="1"/>
  <c r="G326" i="1" a="1"/>
  <c r="G325" i="1" a="1"/>
  <c r="G325" i="1" s="1"/>
  <c r="G324" i="1"/>
  <c r="G324" i="1" a="1"/>
  <c r="G323" i="1"/>
  <c r="G323" i="1" a="1"/>
  <c r="G322" i="1" a="1"/>
  <c r="G322" i="1" s="1"/>
  <c r="G321" i="1"/>
  <c r="G321" i="1" a="1"/>
  <c r="G320" i="1"/>
  <c r="G320" i="1" a="1"/>
  <c r="G319" i="1" a="1"/>
  <c r="G319" i="1" s="1"/>
  <c r="G318" i="1"/>
  <c r="G318" i="1" a="1"/>
  <c r="G317" i="1"/>
  <c r="G317" i="1" a="1"/>
  <c r="G316" i="1" a="1"/>
  <c r="G316" i="1" s="1"/>
  <c r="G315" i="1"/>
  <c r="G315" i="1" a="1"/>
  <c r="G314" i="1"/>
  <c r="G314" i="1" a="1"/>
  <c r="G313" i="1" a="1"/>
  <c r="G313" i="1" s="1"/>
  <c r="G312" i="1"/>
  <c r="G312" i="1" a="1"/>
  <c r="G311" i="1"/>
  <c r="G311" i="1" a="1"/>
  <c r="G310" i="1" a="1"/>
  <c r="G310" i="1" s="1"/>
  <c r="G309" i="1"/>
  <c r="G309" i="1" a="1"/>
  <c r="G308" i="1"/>
  <c r="G308" i="1" a="1"/>
  <c r="G307" i="1" a="1"/>
  <c r="G307" i="1" s="1"/>
  <c r="G306" i="1"/>
  <c r="G306" i="1" a="1"/>
  <c r="G305" i="1"/>
  <c r="G305" i="1" a="1"/>
  <c r="G304" i="1" a="1"/>
  <c r="G304" i="1" s="1"/>
  <c r="G303" i="1"/>
  <c r="G303" i="1" a="1"/>
  <c r="G302" i="1"/>
  <c r="G302" i="1" a="1"/>
  <c r="G301" i="1" a="1"/>
  <c r="G301" i="1" s="1"/>
  <c r="G300" i="1"/>
  <c r="G300" i="1" a="1"/>
  <c r="G299" i="1"/>
  <c r="G299" i="1" a="1"/>
  <c r="G298" i="1" a="1"/>
  <c r="G298" i="1" s="1"/>
  <c r="G297" i="1"/>
  <c r="G297" i="1" a="1"/>
  <c r="G296" i="1"/>
  <c r="G296" i="1" a="1"/>
  <c r="G295" i="1" a="1"/>
  <c r="G295" i="1" s="1"/>
  <c r="G294" i="1"/>
  <c r="G294" i="1" a="1"/>
  <c r="G293" i="1"/>
  <c r="G293" i="1" a="1"/>
  <c r="G292" i="1" a="1"/>
  <c r="G292" i="1" s="1"/>
  <c r="G291" i="1"/>
  <c r="G291" i="1" a="1"/>
  <c r="G290" i="1"/>
  <c r="G290" i="1" a="1"/>
  <c r="G289" i="1" a="1"/>
  <c r="G289" i="1" s="1"/>
  <c r="G288" i="1"/>
  <c r="G288" i="1" a="1"/>
  <c r="G287" i="1"/>
  <c r="G287" i="1" a="1"/>
  <c r="G286" i="1" a="1"/>
  <c r="G286" i="1" s="1"/>
  <c r="G285" i="1"/>
  <c r="G285" i="1" a="1"/>
  <c r="G284" i="1"/>
  <c r="G284" i="1" a="1"/>
  <c r="G283" i="1" a="1"/>
  <c r="G283" i="1" s="1"/>
  <c r="G282" i="1"/>
  <c r="G282" i="1" a="1"/>
  <c r="G281" i="1"/>
  <c r="G281" i="1" a="1"/>
  <c r="G280" i="1" a="1"/>
  <c r="G280" i="1" s="1"/>
  <c r="G279" i="1"/>
  <c r="G279" i="1" a="1"/>
  <c r="G278" i="1"/>
  <c r="G278" i="1" a="1"/>
  <c r="G277" i="1" a="1"/>
  <c r="G277" i="1" s="1"/>
  <c r="G276" i="1"/>
  <c r="G276" i="1" a="1"/>
  <c r="G275" i="1"/>
  <c r="G275" i="1" a="1"/>
  <c r="G274" i="1" a="1"/>
  <c r="G274" i="1" s="1"/>
  <c r="G273" i="1"/>
  <c r="G273" i="1" a="1"/>
  <c r="G272" i="1"/>
  <c r="G272" i="1" a="1"/>
  <c r="G271" i="1" a="1"/>
  <c r="G271" i="1" s="1"/>
  <c r="G270" i="1"/>
  <c r="G270" i="1" a="1"/>
  <c r="G269" i="1"/>
  <c r="G269" i="1" a="1"/>
  <c r="G268" i="1" a="1"/>
  <c r="G268" i="1" s="1"/>
  <c r="G267" i="1"/>
  <c r="G267" i="1" a="1"/>
  <c r="G266" i="1"/>
  <c r="G266" i="1" a="1"/>
  <c r="G265" i="1" a="1"/>
  <c r="G265" i="1" s="1"/>
  <c r="G264" i="1"/>
  <c r="G264" i="1" a="1"/>
  <c r="G263" i="1"/>
  <c r="G263" i="1" a="1"/>
  <c r="G262" i="1" a="1"/>
  <c r="G262" i="1" s="1"/>
  <c r="G261" i="1"/>
  <c r="G261" i="1" a="1"/>
  <c r="G260" i="1"/>
  <c r="G260" i="1" a="1"/>
  <c r="G259" i="1" a="1"/>
  <c r="G259" i="1" s="1"/>
  <c r="G258" i="1"/>
  <c r="G258" i="1" a="1"/>
  <c r="G257" i="1"/>
  <c r="G257" i="1" a="1"/>
  <c r="G256" i="1" a="1"/>
  <c r="G256" i="1" s="1"/>
  <c r="G255" i="1"/>
  <c r="G255" i="1" a="1"/>
  <c r="G254" i="1"/>
  <c r="G254" i="1" a="1"/>
  <c r="G253" i="1" a="1"/>
  <c r="G253" i="1" s="1"/>
  <c r="G252" i="1"/>
  <c r="G252" i="1" a="1"/>
  <c r="G251" i="1"/>
  <c r="G251" i="1" a="1"/>
  <c r="G250" i="1" a="1"/>
  <c r="G250" i="1" s="1"/>
  <c r="G249" i="1"/>
  <c r="G249" i="1" a="1"/>
  <c r="G248" i="1"/>
  <c r="G248" i="1" a="1"/>
  <c r="G247" i="1" a="1"/>
  <c r="G247" i="1" s="1"/>
  <c r="G246" i="1"/>
  <c r="G246" i="1" a="1"/>
  <c r="G245" i="1"/>
  <c r="G245" i="1" a="1"/>
  <c r="G244" i="1" a="1"/>
  <c r="G244" i="1" s="1"/>
  <c r="G243" i="1"/>
  <c r="G243" i="1" a="1"/>
  <c r="G242" i="1"/>
  <c r="G242" i="1" a="1"/>
  <c r="G241" i="1" a="1"/>
  <c r="G241" i="1" s="1"/>
  <c r="G240" i="1"/>
  <c r="G240" i="1" a="1"/>
  <c r="G239" i="1"/>
  <c r="G239" i="1" a="1"/>
  <c r="G238" i="1" a="1"/>
  <c r="G238" i="1" s="1"/>
  <c r="G237" i="1"/>
  <c r="G237" i="1" a="1"/>
  <c r="G236" i="1"/>
  <c r="G236" i="1" a="1"/>
  <c r="G235" i="1" a="1"/>
  <c r="G235" i="1" s="1"/>
  <c r="G234" i="1"/>
  <c r="G234" i="1" a="1"/>
  <c r="G233" i="1"/>
  <c r="G233" i="1" a="1"/>
  <c r="G232" i="1" a="1"/>
  <c r="G232" i="1" s="1"/>
  <c r="G231" i="1"/>
  <c r="G231" i="1" a="1"/>
  <c r="G230" i="1"/>
  <c r="G230" i="1" a="1"/>
  <c r="G229" i="1" a="1"/>
  <c r="G229" i="1" s="1"/>
  <c r="G228" i="1"/>
  <c r="G228" i="1" a="1"/>
  <c r="G227" i="1"/>
  <c r="G227" i="1" a="1"/>
  <c r="G226" i="1" a="1"/>
  <c r="G226" i="1" s="1"/>
  <c r="G225" i="1"/>
  <c r="G225" i="1" a="1"/>
  <c r="G224" i="1"/>
  <c r="G224" i="1" a="1"/>
  <c r="G223" i="1" a="1"/>
  <c r="G223" i="1" s="1"/>
  <c r="G222" i="1"/>
  <c r="G222" i="1" a="1"/>
  <c r="G221" i="1"/>
  <c r="G221" i="1" a="1"/>
  <c r="G220" i="1" a="1"/>
  <c r="G220" i="1" s="1"/>
  <c r="G219" i="1"/>
  <c r="G219" i="1" a="1"/>
  <c r="G218" i="1"/>
  <c r="G218" i="1" a="1"/>
  <c r="G217" i="1" a="1"/>
  <c r="G217" i="1" s="1"/>
  <c r="G216" i="1"/>
  <c r="G216" i="1" a="1"/>
  <c r="G215" i="1"/>
  <c r="G215" i="1" a="1"/>
  <c r="G214" i="1" a="1"/>
  <c r="G214" i="1" s="1"/>
  <c r="G213" i="1"/>
  <c r="G213" i="1" a="1"/>
  <c r="G212" i="1"/>
  <c r="G212" i="1" a="1"/>
  <c r="G211" i="1" a="1"/>
  <c r="G211" i="1" s="1"/>
  <c r="G210" i="1"/>
  <c r="G210" i="1" a="1"/>
  <c r="G209" i="1"/>
  <c r="G209" i="1" a="1"/>
  <c r="G208" i="1" a="1"/>
  <c r="G208" i="1" s="1"/>
  <c r="G207" i="1"/>
  <c r="G207" i="1" a="1"/>
  <c r="G206" i="1"/>
  <c r="G206" i="1" a="1"/>
  <c r="G205" i="1" a="1"/>
  <c r="G205" i="1" s="1"/>
  <c r="G204" i="1"/>
  <c r="G204" i="1" a="1"/>
  <c r="G203" i="1"/>
  <c r="G203" i="1" a="1"/>
  <c r="G202" i="1" a="1"/>
  <c r="G202" i="1" s="1"/>
  <c r="G201" i="1"/>
  <c r="G201" i="1" a="1"/>
  <c r="G200" i="1"/>
  <c r="G200" i="1" a="1"/>
  <c r="G199" i="1" a="1"/>
  <c r="G199" i="1" s="1"/>
  <c r="G198" i="1"/>
  <c r="G198" i="1" a="1"/>
  <c r="G197" i="1"/>
  <c r="G197" i="1" a="1"/>
  <c r="G196" i="1" a="1"/>
  <c r="G196" i="1" s="1"/>
  <c r="G195" i="1"/>
  <c r="G195" i="1" a="1"/>
  <c r="G194" i="1"/>
  <c r="G194" i="1" a="1"/>
  <c r="G193" i="1" a="1"/>
  <c r="G193" i="1" s="1"/>
  <c r="G192" i="1"/>
  <c r="G192" i="1" a="1"/>
  <c r="G191" i="1"/>
  <c r="G191" i="1" a="1"/>
  <c r="G190" i="1" a="1"/>
  <c r="G190" i="1" s="1"/>
  <c r="G189" i="1" a="1"/>
  <c r="G189" i="1" s="1"/>
  <c r="G188" i="1"/>
  <c r="G188" i="1" a="1"/>
  <c r="G187" i="1" a="1"/>
  <c r="G187" i="1" s="1"/>
  <c r="G186" i="1" a="1"/>
  <c r="G186" i="1" s="1"/>
  <c r="G185" i="1"/>
  <c r="G185" i="1" a="1"/>
  <c r="G184" i="1" a="1"/>
  <c r="G184" i="1" s="1"/>
  <c r="G183" i="1" a="1"/>
  <c r="G183" i="1" s="1"/>
  <c r="G182" i="1"/>
  <c r="G182" i="1" a="1"/>
  <c r="G181" i="1" a="1"/>
  <c r="G181" i="1" s="1"/>
  <c r="G180" i="1" a="1"/>
  <c r="G180" i="1" s="1"/>
  <c r="G179" i="1"/>
  <c r="G179" i="1" a="1"/>
  <c r="G178" i="1" a="1"/>
  <c r="G178" i="1" s="1"/>
  <c r="G177" i="1" a="1"/>
  <c r="G177" i="1" s="1"/>
  <c r="G176" i="1"/>
  <c r="G176" i="1" a="1"/>
  <c r="G175" i="1" a="1"/>
  <c r="G175" i="1" s="1"/>
  <c r="G174" i="1" a="1"/>
  <c r="G174" i="1" s="1"/>
  <c r="G173" i="1"/>
  <c r="G173" i="1" a="1"/>
  <c r="G172" i="1" a="1"/>
  <c r="G172" i="1" s="1"/>
  <c r="G171" i="1" a="1"/>
  <c r="G171" i="1" s="1"/>
  <c r="G170" i="1"/>
  <c r="G170" i="1" a="1"/>
  <c r="G169" i="1" a="1"/>
  <c r="G169" i="1" s="1"/>
  <c r="G168" i="1" a="1"/>
  <c r="G168" i="1" s="1"/>
  <c r="G167" i="1"/>
  <c r="G167" i="1" a="1"/>
  <c r="G166" i="1" a="1"/>
  <c r="G166" i="1" s="1"/>
  <c r="G165" i="1" a="1"/>
  <c r="G165" i="1" s="1"/>
  <c r="G164" i="1"/>
  <c r="G164" i="1" a="1"/>
  <c r="G163" i="1" a="1"/>
  <c r="G163" i="1" s="1"/>
  <c r="G162" i="1" a="1"/>
  <c r="G162" i="1" s="1"/>
  <c r="G161" i="1"/>
  <c r="G161" i="1" a="1"/>
  <c r="G160" i="1" a="1"/>
  <c r="G160" i="1" s="1"/>
  <c r="G159" i="1" a="1"/>
  <c r="G159" i="1" s="1"/>
  <c r="G158" i="1"/>
  <c r="G158" i="1" a="1"/>
  <c r="G157" i="1" a="1"/>
  <c r="G157" i="1" s="1"/>
  <c r="G156" i="1" a="1"/>
  <c r="G156" i="1" s="1"/>
  <c r="G155" i="1"/>
  <c r="G155" i="1" a="1"/>
  <c r="G154" i="1" a="1"/>
  <c r="G154" i="1" s="1"/>
  <c r="G153" i="1" a="1"/>
  <c r="G153" i="1" s="1"/>
  <c r="G152" i="1" a="1"/>
  <c r="G152" i="1" s="1"/>
  <c r="G151" i="1" a="1"/>
  <c r="G151" i="1" s="1"/>
  <c r="G150" i="1" a="1"/>
  <c r="G150" i="1" s="1"/>
  <c r="G149" i="1" a="1"/>
  <c r="G149" i="1" s="1"/>
  <c r="G148" i="1" a="1"/>
  <c r="G148" i="1" s="1"/>
  <c r="G147" i="1" a="1"/>
  <c r="G147" i="1" s="1"/>
  <c r="G146" i="1" a="1"/>
  <c r="G146" i="1" s="1"/>
  <c r="G145" i="1" a="1"/>
  <c r="G145" i="1" s="1"/>
  <c r="G144" i="1" a="1"/>
  <c r="G144" i="1" s="1"/>
  <c r="G143" i="1" a="1"/>
  <c r="G143" i="1" s="1"/>
  <c r="G142" i="1" a="1"/>
  <c r="G142" i="1" s="1"/>
  <c r="G141" i="1" a="1"/>
  <c r="G141" i="1" s="1"/>
  <c r="G140" i="1" a="1"/>
  <c r="G140" i="1" s="1"/>
  <c r="G139" i="1" a="1"/>
  <c r="G139" i="1" s="1"/>
  <c r="G138" i="1" a="1"/>
  <c r="G138" i="1" s="1"/>
  <c r="G137" i="1" a="1"/>
  <c r="G137" i="1" s="1"/>
  <c r="G136" i="1" a="1"/>
  <c r="G136" i="1" s="1"/>
  <c r="G135" i="1" a="1"/>
  <c r="G135" i="1" s="1"/>
  <c r="G134" i="1" a="1"/>
  <c r="G134" i="1" s="1"/>
  <c r="G133" i="1" a="1"/>
  <c r="G133" i="1" s="1"/>
  <c r="G132" i="1" a="1"/>
  <c r="G132" i="1" s="1"/>
  <c r="G131" i="1" a="1"/>
  <c r="G131" i="1" s="1"/>
  <c r="G130" i="1" a="1"/>
  <c r="G130" i="1" s="1"/>
  <c r="G129" i="1" a="1"/>
  <c r="G129" i="1" s="1"/>
  <c r="G128" i="1" a="1"/>
  <c r="G128" i="1" s="1"/>
  <c r="G127" i="1" a="1"/>
  <c r="G127" i="1" s="1"/>
  <c r="G126" i="1" a="1"/>
  <c r="G126" i="1" s="1"/>
  <c r="G125" i="1" a="1"/>
  <c r="G125" i="1" s="1"/>
  <c r="G124" i="1" a="1"/>
  <c r="G124" i="1" s="1"/>
  <c r="G123" i="1" a="1"/>
  <c r="G123" i="1" s="1"/>
  <c r="G122" i="1" a="1"/>
  <c r="G122" i="1" s="1"/>
  <c r="G121" i="1" a="1"/>
  <c r="G121" i="1" s="1"/>
  <c r="G120" i="1" a="1"/>
  <c r="G120" i="1" s="1"/>
  <c r="G119" i="1" a="1"/>
  <c r="G119" i="1" s="1"/>
  <c r="G118" i="1" a="1"/>
  <c r="G118" i="1" s="1"/>
  <c r="G117" i="1" a="1"/>
  <c r="G117" i="1" s="1"/>
  <c r="G116" i="1" a="1"/>
  <c r="G116" i="1" s="1"/>
  <c r="G115" i="1" a="1"/>
  <c r="G115" i="1" s="1"/>
  <c r="G114" i="1" a="1"/>
  <c r="G114" i="1" s="1"/>
  <c r="G113" i="1" a="1"/>
  <c r="G113" i="1" s="1"/>
  <c r="G112" i="1" a="1"/>
  <c r="G112" i="1" s="1"/>
  <c r="G111" i="1" a="1"/>
  <c r="G111" i="1" s="1"/>
  <c r="G110" i="1" a="1"/>
  <c r="G110" i="1" s="1"/>
  <c r="G109" i="1" a="1"/>
  <c r="G109" i="1" s="1"/>
  <c r="G108" i="1" a="1"/>
  <c r="G108" i="1" s="1"/>
  <c r="G107" i="1" a="1"/>
  <c r="G107" i="1" s="1"/>
  <c r="G106" i="1" a="1"/>
  <c r="G106" i="1" s="1"/>
  <c r="G105" i="1" a="1"/>
  <c r="G105" i="1" s="1"/>
  <c r="G104" i="1" a="1"/>
  <c r="G104" i="1" s="1"/>
  <c r="G103" i="1" a="1"/>
  <c r="G103" i="1" s="1"/>
  <c r="G102" i="1" a="1"/>
  <c r="G102" i="1" s="1"/>
  <c r="G101" i="1" a="1"/>
  <c r="G101" i="1" s="1"/>
  <c r="G100" i="1" a="1"/>
  <c r="G100" i="1" s="1"/>
  <c r="G99" i="1" a="1"/>
  <c r="G99" i="1" s="1"/>
  <c r="G98" i="1" a="1"/>
  <c r="G98" i="1" s="1"/>
  <c r="G97" i="1" a="1"/>
  <c r="G97" i="1" s="1"/>
  <c r="G96" i="1" a="1"/>
  <c r="G96" i="1" s="1"/>
  <c r="G95" i="1" a="1"/>
  <c r="G95" i="1" s="1"/>
  <c r="G94" i="1" a="1"/>
  <c r="G94" i="1" s="1"/>
  <c r="G93" i="1" a="1"/>
  <c r="G93" i="1" s="1"/>
  <c r="G92" i="1" a="1"/>
  <c r="G92" i="1" s="1"/>
  <c r="G91" i="1" a="1"/>
  <c r="G91" i="1" s="1"/>
  <c r="G90" i="1" a="1"/>
  <c r="G90" i="1" s="1"/>
  <c r="G89" i="1" a="1"/>
  <c r="G89" i="1" s="1"/>
  <c r="G88" i="1" a="1"/>
  <c r="G88" i="1" s="1"/>
  <c r="G87" i="1" a="1"/>
  <c r="G87" i="1" s="1"/>
  <c r="G86" i="1" a="1"/>
  <c r="G86" i="1" s="1"/>
  <c r="G85" i="1" a="1"/>
  <c r="G85" i="1" s="1"/>
  <c r="G84" i="1" a="1"/>
  <c r="G84" i="1" s="1"/>
  <c r="G83" i="1" a="1"/>
  <c r="G83" i="1" s="1"/>
  <c r="G82" i="1" a="1"/>
  <c r="G82" i="1" s="1"/>
  <c r="G81" i="1" a="1"/>
  <c r="G81" i="1" s="1"/>
  <c r="G80" i="1" a="1"/>
  <c r="G80" i="1" s="1"/>
  <c r="G79" i="1" a="1"/>
  <c r="G79" i="1" s="1"/>
  <c r="G78" i="1" a="1"/>
  <c r="G78" i="1" s="1"/>
  <c r="G77" i="1" a="1"/>
  <c r="G77" i="1" s="1"/>
  <c r="G76" i="1" a="1"/>
  <c r="G76" i="1" s="1"/>
  <c r="G75" i="1" a="1"/>
  <c r="G75" i="1" s="1"/>
  <c r="G74" i="1" a="1"/>
  <c r="G74" i="1" s="1"/>
  <c r="G73" i="1" a="1"/>
  <c r="G73" i="1" s="1"/>
  <c r="G72" i="1" a="1"/>
  <c r="G72" i="1" s="1"/>
  <c r="G71" i="1" a="1"/>
  <c r="G71" i="1" s="1"/>
  <c r="G70" i="1" a="1"/>
  <c r="G70" i="1" s="1"/>
  <c r="G69" i="1" a="1"/>
  <c r="G69" i="1" s="1"/>
  <c r="G68" i="1" a="1"/>
  <c r="G68" i="1" s="1"/>
  <c r="G67" i="1" a="1"/>
  <c r="G67" i="1" s="1"/>
  <c r="G66" i="1" a="1"/>
  <c r="G66" i="1" s="1"/>
  <c r="G65" i="1" a="1"/>
  <c r="G65" i="1" s="1"/>
  <c r="G64" i="1" a="1"/>
  <c r="G64" i="1" s="1"/>
  <c r="G63" i="1" a="1"/>
  <c r="G63" i="1" s="1"/>
  <c r="G62" i="1" a="1"/>
  <c r="G62" i="1" s="1"/>
  <c r="G61" i="1" a="1"/>
  <c r="G61" i="1" s="1"/>
  <c r="G60" i="1" a="1"/>
  <c r="G60" i="1" s="1"/>
  <c r="G59" i="1" a="1"/>
  <c r="G59" i="1" s="1"/>
  <c r="G58" i="1" a="1"/>
  <c r="G58" i="1" s="1"/>
  <c r="G57" i="1" a="1"/>
  <c r="G57" i="1" s="1"/>
  <c r="G56" i="1" a="1"/>
  <c r="G56" i="1" s="1"/>
  <c r="G55" i="1" a="1"/>
  <c r="G55" i="1" s="1"/>
  <c r="G54" i="1" a="1"/>
  <c r="G54" i="1" s="1"/>
  <c r="G53" i="1" a="1"/>
  <c r="G53" i="1" s="1"/>
  <c r="G52" i="1" a="1"/>
  <c r="G52" i="1" s="1"/>
  <c r="G51" i="1" a="1"/>
  <c r="G51" i="1" s="1"/>
  <c r="G50" i="1" a="1"/>
  <c r="G50" i="1" s="1"/>
  <c r="G49" i="1" a="1"/>
  <c r="G49" i="1" s="1"/>
  <c r="G48" i="1" a="1"/>
  <c r="G48" i="1" s="1"/>
  <c r="G47" i="1" a="1"/>
  <c r="G47" i="1" s="1"/>
  <c r="G46" i="1" a="1"/>
  <c r="G46" i="1" s="1"/>
  <c r="G45" i="1" a="1"/>
  <c r="G45" i="1" s="1"/>
  <c r="G44" i="1" a="1"/>
  <c r="G44" i="1" s="1"/>
  <c r="G43" i="1" a="1"/>
  <c r="G43" i="1" s="1"/>
  <c r="G42" i="1" a="1"/>
  <c r="G42" i="1" s="1"/>
  <c r="G41" i="1" a="1"/>
  <c r="G41" i="1" s="1"/>
  <c r="G40" i="1" a="1"/>
  <c r="G40" i="1" s="1"/>
  <c r="G39" i="1" a="1"/>
  <c r="G39" i="1" s="1"/>
  <c r="G38" i="1" a="1"/>
  <c r="G38" i="1" s="1"/>
  <c r="G37" i="1" a="1"/>
  <c r="G37" i="1" s="1"/>
  <c r="G36" i="1" a="1"/>
  <c r="G36" i="1" s="1"/>
  <c r="G35" i="1" a="1"/>
  <c r="G35" i="1" s="1"/>
  <c r="G34" i="1" a="1"/>
  <c r="G34" i="1" s="1"/>
  <c r="G33" i="1" a="1"/>
  <c r="G33" i="1" s="1"/>
  <c r="G32" i="1" a="1"/>
  <c r="G32" i="1" s="1"/>
  <c r="G31" i="1" a="1"/>
  <c r="G31" i="1" s="1"/>
  <c r="G30" i="1" a="1"/>
  <c r="G30" i="1" s="1"/>
  <c r="G29" i="1" a="1"/>
  <c r="G29" i="1" s="1"/>
  <c r="G28" i="1" a="1"/>
  <c r="G28" i="1" s="1"/>
  <c r="G27" i="1" a="1"/>
  <c r="G27" i="1" s="1"/>
  <c r="G26" i="1" a="1"/>
  <c r="G26" i="1" s="1"/>
  <c r="G25" i="1" a="1"/>
  <c r="G25" i="1" s="1"/>
  <c r="G24" i="1" a="1"/>
  <c r="G24" i="1" s="1"/>
  <c r="G23" i="1" a="1"/>
  <c r="G23" i="1" s="1"/>
  <c r="G22" i="1" a="1"/>
  <c r="G22" i="1" s="1"/>
  <c r="G21" i="1" a="1"/>
  <c r="G21" i="1" s="1"/>
  <c r="G20" i="1" a="1"/>
  <c r="G20" i="1" s="1"/>
  <c r="G19" i="1" a="1"/>
  <c r="G19" i="1" s="1"/>
  <c r="G18" i="1" a="1"/>
  <c r="G18" i="1" s="1"/>
  <c r="G17" i="1" a="1"/>
  <c r="G17" i="1" s="1"/>
  <c r="G16" i="1" a="1"/>
  <c r="G16" i="1" s="1"/>
  <c r="G15" i="1" a="1"/>
  <c r="G15" i="1" s="1"/>
  <c r="G14" i="1" a="1"/>
  <c r="G14" i="1" s="1"/>
  <c r="G13" i="1" a="1"/>
  <c r="G13" i="1" s="1"/>
  <c r="G12" i="1" a="1"/>
  <c r="G12" i="1" s="1"/>
  <c r="G11" i="1" a="1"/>
  <c r="G11" i="1" s="1"/>
  <c r="G10" i="1" a="1"/>
  <c r="G10" i="1" s="1"/>
  <c r="G9" i="1" a="1"/>
  <c r="G9" i="1" s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<sst xmlns="http://schemas.openxmlformats.org/spreadsheetml/2006/main" count="4571" uniqueCount="1845">
  <si>
    <t>Versión:</t>
  </si>
  <si>
    <t>Stock</t>
  </si>
  <si>
    <t>Valor Pedido</t>
  </si>
  <si>
    <t>2025.12</t>
  </si>
  <si>
    <t>944</t>
  </si>
  <si>
    <t>Busqueda</t>
  </si>
  <si>
    <r>
      <t xml:space="preserve">Borrar </t>
    </r>
    <r>
      <rPr>
        <sz val="16"/>
        <rFont val="Ink Free"/>
        <family val="4"/>
      </rPr>
      <t>🔎</t>
    </r>
  </si>
  <si>
    <t>Família</t>
  </si>
  <si>
    <t>Id de Producto</t>
  </si>
  <si>
    <t>Producto</t>
  </si>
  <si>
    <t>ABC Recambios</t>
  </si>
  <si>
    <t>Pedido</t>
  </si>
  <si>
    <t>Valor</t>
  </si>
  <si>
    <t>__match__</t>
  </si>
  <si>
    <t>Filtro Familia</t>
  </si>
  <si>
    <t>ZENIUS</t>
  </si>
  <si>
    <t>11300/EU</t>
  </si>
  <si>
    <t>Electric cord for ZN100- eu</t>
  </si>
  <si>
    <t>B</t>
  </si>
  <si>
    <t>TOWER</t>
  </si>
  <si>
    <t>AEQ1004442</t>
  </si>
  <si>
    <t>Carril Dispensador Capsulas Tower (VN00001)</t>
  </si>
  <si>
    <t>C</t>
  </si>
  <si>
    <t>OTROS</t>
  </si>
  <si>
    <t>AEQ1004457</t>
  </si>
  <si>
    <t>Cajón Pequeño base cabinet (VN00102)</t>
  </si>
  <si>
    <t>D</t>
  </si>
  <si>
    <t>AEQ1004464</t>
  </si>
  <si>
    <t>Tower suport bas</t>
  </si>
  <si>
    <t>AEQ1004478</t>
  </si>
  <si>
    <t>Separadores grandes set de 20 uni (VN00113)</t>
  </si>
  <si>
    <t>AEQ1004484</t>
  </si>
  <si>
    <t>Cubierta plastico tubo set 15 uni. (VN00119)</t>
  </si>
  <si>
    <t>AEQ1004486</t>
  </si>
  <si>
    <t>Muelle dispensador vasos. Set 10 pcs (VN00122)</t>
  </si>
  <si>
    <t>AEQ1004489</t>
  </si>
  <si>
    <t>Main-Board Dispenser (VN00124)</t>
  </si>
  <si>
    <t>AEQ1004491</t>
  </si>
  <si>
    <t>Placa electrónica dispensador (VN00125-1)</t>
  </si>
  <si>
    <t>AEQ1004492</t>
  </si>
  <si>
    <t>Boton Prints sin cable set 6 uni. (VN00126)</t>
  </si>
  <si>
    <t>AEQ1004493</t>
  </si>
  <si>
    <t>RFID Antena (VN00127)</t>
  </si>
  <si>
    <t>AEQ1004494</t>
  </si>
  <si>
    <t>Display set 5 uni. (VN00128)</t>
  </si>
  <si>
    <t>AEQ1004495</t>
  </si>
  <si>
    <t>Boton set 10 uni. (VN00130)</t>
  </si>
  <si>
    <t>AEQ1004549</t>
  </si>
  <si>
    <t>Cubierta dispensador set 5 uni. (VN00134)</t>
  </si>
  <si>
    <t>AEQ1004550</t>
  </si>
  <si>
    <t>Tubo evacuación base cabinet set 5 uni. (VN00135)</t>
  </si>
  <si>
    <t>AEQ1004551</t>
  </si>
  <si>
    <t>Tonillo patas tabla soporte set (20 tornillos/unidad) (VN00136)</t>
  </si>
  <si>
    <t>AEQ1004552/1</t>
  </si>
  <si>
    <t>Llave dispensador Una Unidad</t>
  </si>
  <si>
    <t>AEQ1004561</t>
  </si>
  <si>
    <t>Cable monedero Base Cabinet (VN00144)</t>
  </si>
  <si>
    <t>AEQ1005303</t>
  </si>
  <si>
    <t>Puerta derecha base cabinet Sin Coiner (VN00101)</t>
  </si>
  <si>
    <t>AEQ1007357</t>
  </si>
  <si>
    <t>Cerradura completa dispensador tower</t>
  </si>
  <si>
    <t>AEQVN00105</t>
  </si>
  <si>
    <t>Cajón rail Pequeño 250mm Set 10 uni.</t>
  </si>
  <si>
    <t>AEQVN00118</t>
  </si>
  <si>
    <t>Contenedor de basura pequeño base cabine</t>
  </si>
  <si>
    <t>AEQVN00123</t>
  </si>
  <si>
    <t>Microswitch Dispensador</t>
  </si>
  <si>
    <t>AEQVN00145</t>
  </si>
  <si>
    <t>Motor dispensador Tower</t>
  </si>
  <si>
    <t>AEQVN00146</t>
  </si>
  <si>
    <t>Eje motor</t>
  </si>
  <si>
    <t>AEQVN00151</t>
  </si>
  <si>
    <t>Capsule shute dispenser</t>
  </si>
  <si>
    <t>AEQVN00152</t>
  </si>
  <si>
    <t>Alojamiento placas botoneras</t>
  </si>
  <si>
    <t>ANTEA</t>
  </si>
  <si>
    <t>AN02090040</t>
  </si>
  <si>
    <t>Metacrilato cápsulas Antea 6</t>
  </si>
  <si>
    <t>AN02090080</t>
  </si>
  <si>
    <t>Gancho de cierre Antea</t>
  </si>
  <si>
    <t>AN02090132</t>
  </si>
  <si>
    <t>Metacrilato cápsulas Antea 7</t>
  </si>
  <si>
    <t>AN02090183</t>
  </si>
  <si>
    <t>Metacrilato cápsulas Antea 4</t>
  </si>
  <si>
    <t>AN03050800</t>
  </si>
  <si>
    <t>Cerradura Antea 13 mm (03050011)</t>
  </si>
  <si>
    <t>AN03055000</t>
  </si>
  <si>
    <t>Llave cerradura Antea</t>
  </si>
  <si>
    <t>AN04015700</t>
  </si>
  <si>
    <t>Motor espiral</t>
  </si>
  <si>
    <t>AN04020045</t>
  </si>
  <si>
    <t>Placa electrónica.</t>
  </si>
  <si>
    <t>AN04030031</t>
  </si>
  <si>
    <t>Teclado membrana</t>
  </si>
  <si>
    <t>AN04040013</t>
  </si>
  <si>
    <t>Transformador 230V</t>
  </si>
  <si>
    <t>AN04040400</t>
  </si>
  <si>
    <t>Fusible Antea</t>
  </si>
  <si>
    <t>AN10000100</t>
  </si>
  <si>
    <t>Validador monedas RM5</t>
  </si>
  <si>
    <t>AN10000146</t>
  </si>
  <si>
    <t>Sistema de llaves</t>
  </si>
  <si>
    <t>INSTALACIONES</t>
  </si>
  <si>
    <t>BILTB52C</t>
  </si>
  <si>
    <t>Filtro Bilt B52C</t>
  </si>
  <si>
    <t>CONSUMIBLE</t>
  </si>
  <si>
    <t>BOLSA SAT OOH G</t>
  </si>
  <si>
    <t>BOLSA SAT OOH GRANDE</t>
  </si>
  <si>
    <t>Consumible</t>
  </si>
  <si>
    <t>BOLSA SAT OOH P</t>
  </si>
  <si>
    <t>BOLSA SAT OOH PEQUEÑA</t>
  </si>
  <si>
    <t>CAFÉ_PRUEBAS_110</t>
  </si>
  <si>
    <r>
      <t xml:space="preserve">Café Pruebas Lungo - </t>
    </r>
    <r>
      <rPr>
        <sz val="11"/>
        <color rgb="FFFF0000"/>
        <rFont val="Aptos"/>
        <family val="2"/>
      </rPr>
      <t>PEDIR SIEMPRE MULTIPLOS DE 50</t>
    </r>
  </si>
  <si>
    <t>CAFÉ_PRUEBAS_25</t>
  </si>
  <si>
    <r>
      <t xml:space="preserve">Café Pruebas Ristretto - </t>
    </r>
    <r>
      <rPr>
        <sz val="11"/>
        <color rgb="FFFF0000"/>
        <rFont val="Aptos"/>
        <family val="2"/>
      </rPr>
      <t>PEDIR SIEMPRE MULTIPLOS DE 50</t>
    </r>
  </si>
  <si>
    <t>CAFÉ_PRUEBAS_40</t>
  </si>
  <si>
    <r>
      <t xml:space="preserve">Café Pruebas Espresso - </t>
    </r>
    <r>
      <rPr>
        <sz val="11"/>
        <color rgb="FFFF0000"/>
        <rFont val="Aptos"/>
        <family val="2"/>
      </rPr>
      <t>PEDIR SIEMPRE MULTIPLOS DE 50</t>
    </r>
  </si>
  <si>
    <t>MULTI FAMILIA</t>
  </si>
  <si>
    <t>DESCALNES</t>
  </si>
  <si>
    <r>
      <t xml:space="preserve">Descalcificador Nespresso (250 ml) - </t>
    </r>
    <r>
      <rPr>
        <sz val="11"/>
        <color rgb="FFFF0000"/>
        <rFont val="Aptos"/>
        <family val="2"/>
      </rPr>
      <t>PEDIR SIEMPRE MULTIPLOS DE 20</t>
    </r>
  </si>
  <si>
    <t>A</t>
  </si>
  <si>
    <t>MÓDULO VAPOR</t>
  </si>
  <si>
    <t>ESP000003</t>
  </si>
  <si>
    <t>Alojamiento depósito</t>
  </si>
  <si>
    <t>ESP000262</t>
  </si>
  <si>
    <t>Panel frontal</t>
  </si>
  <si>
    <t>ESP000310</t>
  </si>
  <si>
    <t>Panel envolvente inox</t>
  </si>
  <si>
    <t>ESP000316</t>
  </si>
  <si>
    <t>Tapa garrafa</t>
  </si>
  <si>
    <t>ESP000330</t>
  </si>
  <si>
    <t>Bandeja desagüe</t>
  </si>
  <si>
    <t>ESP000397</t>
  </si>
  <si>
    <t>Chasis soldado</t>
  </si>
  <si>
    <t>ESP01ES000009</t>
  </si>
  <si>
    <t>Rejilla servicio</t>
  </si>
  <si>
    <t>ESP01ES000331</t>
  </si>
  <si>
    <t>Bandeja calienta tazas Red</t>
  </si>
  <si>
    <t>ESP01ES000332</t>
  </si>
  <si>
    <t>Bandeja calienta tazas</t>
  </si>
  <si>
    <t>ESP222203</t>
  </si>
  <si>
    <t>Racor recto 1/4” - 1/4”</t>
  </si>
  <si>
    <t>ESP222209</t>
  </si>
  <si>
    <t>Rácor codo 1/8''</t>
  </si>
  <si>
    <t>ESP222214</t>
  </si>
  <si>
    <t>Tapón roscado</t>
  </si>
  <si>
    <t>ESP222236</t>
  </si>
  <si>
    <t>Racor 1/8 - 1/4"</t>
  </si>
  <si>
    <t>ESP222238</t>
  </si>
  <si>
    <t>Racor 1/8'' - 3/8''</t>
  </si>
  <si>
    <t>ESP222240</t>
  </si>
  <si>
    <t>Tuerca 1/4"</t>
  </si>
  <si>
    <t>ESP222241</t>
  </si>
  <si>
    <t>Racor 1/4"H - 1/4"M</t>
  </si>
  <si>
    <t>ESP222252</t>
  </si>
  <si>
    <t>Racor codo 1/4” - 1/4”</t>
  </si>
  <si>
    <t>ESP223343</t>
  </si>
  <si>
    <t>Tubo de cobre 150mm</t>
  </si>
  <si>
    <t>ESP225503</t>
  </si>
  <si>
    <t>Manómetro caldera 0-3 Bar 63mm</t>
  </si>
  <si>
    <t>ESP226601</t>
  </si>
  <si>
    <t>Válvula vacío</t>
  </si>
  <si>
    <t>ESP2266102B</t>
  </si>
  <si>
    <t>Válvula seguridad (2 Bar)</t>
  </si>
  <si>
    <t>ESP226611</t>
  </si>
  <si>
    <t>Válvula purgadora de aire</t>
  </si>
  <si>
    <t>ESP332200</t>
  </si>
  <si>
    <t>Conjunto lanza de vapor</t>
  </si>
  <si>
    <t>ESP33220001</t>
  </si>
  <si>
    <t>Conjunto muelle lanza</t>
  </si>
  <si>
    <t>ESP332207</t>
  </si>
  <si>
    <t>Protector antiquemaduras</t>
  </si>
  <si>
    <t>ESP332219</t>
  </si>
  <si>
    <t>Salida de vapor 4 agujeros</t>
  </si>
  <si>
    <t>ESP332221</t>
  </si>
  <si>
    <t>Grifo agua-vapor</t>
  </si>
  <si>
    <t>ESP33222100</t>
  </si>
  <si>
    <t>Conjunto eje grifo</t>
  </si>
  <si>
    <t>ESP33222104</t>
  </si>
  <si>
    <t>Taco goma</t>
  </si>
  <si>
    <t>ESP33222105</t>
  </si>
  <si>
    <t>Juntas maneta grifo</t>
  </si>
  <si>
    <t>ESP33222201</t>
  </si>
  <si>
    <t>Tapón cromado pomo</t>
  </si>
  <si>
    <t>ESP332223</t>
  </si>
  <si>
    <t>Grifo agua montado</t>
  </si>
  <si>
    <t>ESP332223V</t>
  </si>
  <si>
    <t>Grifo vapor montado</t>
  </si>
  <si>
    <t>ESP332228</t>
  </si>
  <si>
    <t>Tubo lanza vapor estándar</t>
  </si>
  <si>
    <t>ESP333303</t>
  </si>
  <si>
    <t>Conjunto lanza de agua curvada</t>
  </si>
  <si>
    <t>ESP33330403</t>
  </si>
  <si>
    <t>Conjunto filtro difusor de agua</t>
  </si>
  <si>
    <t>ESP333307</t>
  </si>
  <si>
    <t>Junta tórica dado</t>
  </si>
  <si>
    <t>ESP333318</t>
  </si>
  <si>
    <t>Pomo grifo</t>
  </si>
  <si>
    <t>ESP441148</t>
  </si>
  <si>
    <t>Electroválvula carga agua 1/8'', 220V</t>
  </si>
  <si>
    <t>ESP442227</t>
  </si>
  <si>
    <t>Resistencia rosca 1800W, 220V</t>
  </si>
  <si>
    <t>ESP442231</t>
  </si>
  <si>
    <t>Resistencia 2500W, 220v</t>
  </si>
  <si>
    <t>ESP443302</t>
  </si>
  <si>
    <t>Bomba vibración 220V</t>
  </si>
  <si>
    <t>ESP444601</t>
  </si>
  <si>
    <t>Mini Presostato</t>
  </si>
  <si>
    <t>ESP445519</t>
  </si>
  <si>
    <t>Micro interruptor garrafa</t>
  </si>
  <si>
    <t>ESP445520</t>
  </si>
  <si>
    <t>Interruptor general</t>
  </si>
  <si>
    <t>ESP446601</t>
  </si>
  <si>
    <t>Manguera Alimentación 3X2,5 SCHUCKO 1,5mts</t>
  </si>
  <si>
    <t>ESP447717</t>
  </si>
  <si>
    <t>Pilotos Led 12 mm 220V (Encendido y Resistencia)</t>
  </si>
  <si>
    <t>ESP447718</t>
  </si>
  <si>
    <t>Piloto Led 12 mm 3V</t>
  </si>
  <si>
    <t>ESP552215</t>
  </si>
  <si>
    <t>Relé Estático 25A</t>
  </si>
  <si>
    <t>ESP553306</t>
  </si>
  <si>
    <t>Centralita electrónica MicroZeta 220V</t>
  </si>
  <si>
    <t>ESP553314</t>
  </si>
  <si>
    <t>Sonda de seguridad 160 mm</t>
  </si>
  <si>
    <t>ESP553329</t>
  </si>
  <si>
    <t>Centralita electrónica 220V</t>
  </si>
  <si>
    <t>ESP553332</t>
  </si>
  <si>
    <t>Sonda de nivel 100 mm</t>
  </si>
  <si>
    <t>ESP663306</t>
  </si>
  <si>
    <t>Protector resistencia</t>
  </si>
  <si>
    <t>ESP663313A</t>
  </si>
  <si>
    <t>Garrafa de agua 2 Litros</t>
  </si>
  <si>
    <t>ESP663322</t>
  </si>
  <si>
    <t>Pie de apoyo cilindrico M8</t>
  </si>
  <si>
    <t>ESP663324</t>
  </si>
  <si>
    <t>Adhesivo on y resistencia</t>
  </si>
  <si>
    <t>ESP663325</t>
  </si>
  <si>
    <t>Adhesivo  gota red auto</t>
  </si>
  <si>
    <t>ESP663326</t>
  </si>
  <si>
    <t>Adhesivo  gota espresso auto</t>
  </si>
  <si>
    <t>ESP770155</t>
  </si>
  <si>
    <t>Junta resistencia</t>
  </si>
  <si>
    <t>ESP880008</t>
  </si>
  <si>
    <t xml:space="preserve">Tubo entrada de agua bomba </t>
  </si>
  <si>
    <t xml:space="preserve"> </t>
  </si>
  <si>
    <t>ESP990011</t>
  </si>
  <si>
    <t>Tornillo exagonal inooxidable M4X12</t>
  </si>
  <si>
    <t>ESPAC0092</t>
  </si>
  <si>
    <t>Tapon cromado grifo</t>
  </si>
  <si>
    <t>ESPBOI006</t>
  </si>
  <si>
    <t>Caldera de inox 6L</t>
  </si>
  <si>
    <t>ESPKIT</t>
  </si>
  <si>
    <t>Kit de Supervivencia Espressomat</t>
  </si>
  <si>
    <t>ETECNICO</t>
  </si>
  <si>
    <t>Etiqueta técnico</t>
  </si>
  <si>
    <t>GEMINI</t>
  </si>
  <si>
    <t>EUG0005241</t>
  </si>
  <si>
    <t>Arandela de presión D=4 Gemini</t>
  </si>
  <si>
    <t>E</t>
  </si>
  <si>
    <t>EUG0041846</t>
  </si>
  <si>
    <t>Pasador negro ducha gemini</t>
  </si>
  <si>
    <t>EUG0041847</t>
  </si>
  <si>
    <t>Tapa presión ducha gemini</t>
  </si>
  <si>
    <t>EUG0042213</t>
  </si>
  <si>
    <t>Manometro de presión CS</t>
  </si>
  <si>
    <t>EUG0042694</t>
  </si>
  <si>
    <t>Salida agua negra Cs-200</t>
  </si>
  <si>
    <t>EUG0042819</t>
  </si>
  <si>
    <t>Protección dedos Cs-220</t>
  </si>
  <si>
    <t>EUG0043039</t>
  </si>
  <si>
    <t>Boca salida capuccino gemini CS220 (42519)</t>
  </si>
  <si>
    <t>EUG0043391</t>
  </si>
  <si>
    <t>Bomba CP4 azul (18526)</t>
  </si>
  <si>
    <t>EUG0044269</t>
  </si>
  <si>
    <t>Kit herramientas gemini</t>
  </si>
  <si>
    <t>EUG0044499</t>
  </si>
  <si>
    <t>Cubierta inox boca salida capuc. CS220 g (42518)</t>
  </si>
  <si>
    <t>EUG0044686</t>
  </si>
  <si>
    <t>Embellecedor plateado salida agua Cs-200</t>
  </si>
  <si>
    <t>EUG0044702</t>
  </si>
  <si>
    <t>Electroválvula entrada agua</t>
  </si>
  <si>
    <t>EUG0045564</t>
  </si>
  <si>
    <t>Junta ducha gemini</t>
  </si>
  <si>
    <t>EUG0046874</t>
  </si>
  <si>
    <t>Bomba capuccinador gemini CS220</t>
  </si>
  <si>
    <t>EUG0047122</t>
  </si>
  <si>
    <t>Termofusible grupo café 167ºC</t>
  </si>
  <si>
    <t>EUG0047364</t>
  </si>
  <si>
    <t>Tubo silicona reforzado di 4,2</t>
  </si>
  <si>
    <t>EUG0047372</t>
  </si>
  <si>
    <t>Bandeja goteo izquierda gemini dep. agua (47370)</t>
  </si>
  <si>
    <t>EUG0047373</t>
  </si>
  <si>
    <t>Bandeja goteo derecha gemini dep. agua</t>
  </si>
  <si>
    <t>EUG0048200</t>
  </si>
  <si>
    <t>Boquilla rosca salida vapor Cs-220 (43630)</t>
  </si>
  <si>
    <t>EUG0048202</t>
  </si>
  <si>
    <t>Recambio tapa seguridad gemini</t>
  </si>
  <si>
    <t>EUG0048204</t>
  </si>
  <si>
    <t>Bandeja residuos central Cs-200</t>
  </si>
  <si>
    <t>EUG0048893</t>
  </si>
  <si>
    <t>Embellecedor Bandeja Goteo</t>
  </si>
  <si>
    <t>EUG0049176</t>
  </si>
  <si>
    <t>Termofusible Cs-220 167C (42964)</t>
  </si>
  <si>
    <t>EUG0049177</t>
  </si>
  <si>
    <t>Termofusible Cs-220 192C (42965)</t>
  </si>
  <si>
    <t>EUG0049185</t>
  </si>
  <si>
    <t>Reductor caudal desague Gemini</t>
  </si>
  <si>
    <t>EUG0049696</t>
  </si>
  <si>
    <t>Tubo FEP D4,0/2,03x150mm</t>
  </si>
  <si>
    <t>EUG0049804</t>
  </si>
  <si>
    <t>Adaptador manometro presión Gemini</t>
  </si>
  <si>
    <t>EUG0049807</t>
  </si>
  <si>
    <t>Boquilla capuccinatore metálico 2ª Gen</t>
  </si>
  <si>
    <t>EUG0050865</t>
  </si>
  <si>
    <t>Sensor IR GEMINI  (44667)</t>
  </si>
  <si>
    <t>EUG0050866</t>
  </si>
  <si>
    <t>LED Deposito de agua Gemini (44669)</t>
  </si>
  <si>
    <t>EUG0050969</t>
  </si>
  <si>
    <t>Anclaje grupo café GEMINI</t>
  </si>
  <si>
    <t>EUG0050973</t>
  </si>
  <si>
    <t>Tornillo sin fin grupo café gemini</t>
  </si>
  <si>
    <t>EUG0051083</t>
  </si>
  <si>
    <t>Thermoblock cafe Gemini 230V/1080W</t>
  </si>
  <si>
    <t>EUG0051591</t>
  </si>
  <si>
    <t>Tapa deposito de leche V2 CS20 (43637)</t>
  </si>
  <si>
    <t>EUG0052028</t>
  </si>
  <si>
    <t>Conjunto placa piramidal (48194)</t>
  </si>
  <si>
    <t>EUG0052139</t>
  </si>
  <si>
    <t>Válvula entrada agua completa GEMINI</t>
  </si>
  <si>
    <t>EUG0053292</t>
  </si>
  <si>
    <t>Distribuidor de flujo en Y</t>
  </si>
  <si>
    <t>EUG0053297</t>
  </si>
  <si>
    <t>Bandeja goteo central macchiato Cs-220 (48203)</t>
  </si>
  <si>
    <t>EUG0053324</t>
  </si>
  <si>
    <t>Bandeja residuos Der. (Machiatto)</t>
  </si>
  <si>
    <t>EUG0053325</t>
  </si>
  <si>
    <t>Bandeja residuos Izq. (Machiatto)</t>
  </si>
  <si>
    <t>EUG0053632</t>
  </si>
  <si>
    <t>Tubo de silicona 10.OX2.00X065</t>
  </si>
  <si>
    <t>EUG0054806</t>
  </si>
  <si>
    <t>Salida ud. extracción 702 (42374)</t>
  </si>
  <si>
    <t>EUG0057368</t>
  </si>
  <si>
    <t>Modulo display Gemini (44666)</t>
  </si>
  <si>
    <t>EUG0061799</t>
  </si>
  <si>
    <t>Conexión I (41936)</t>
  </si>
  <si>
    <t>EUG0063637</t>
  </si>
  <si>
    <t>Panel frontal derecho Gemini (53487)</t>
  </si>
  <si>
    <t>EUG0063640</t>
  </si>
  <si>
    <t>Panel frontal izquierdo Gemini (53485)</t>
  </si>
  <si>
    <t>EUG0063968</t>
  </si>
  <si>
    <t>Thermoblock vapor CS220-CS223 230V/1080W (51076)</t>
  </si>
  <si>
    <t>EUG0064494</t>
  </si>
  <si>
    <t>Salida desagüe GEMINI 2ª G (49186)</t>
  </si>
  <si>
    <t>EUG0064822</t>
  </si>
  <si>
    <t>Sensor.temp. thermoblock gemini (12336)</t>
  </si>
  <si>
    <t>EUG0065033</t>
  </si>
  <si>
    <t>Depósito de agua CS203/223 (51221)</t>
  </si>
  <si>
    <t>EUG0066059</t>
  </si>
  <si>
    <t>Base gemini (42662)</t>
  </si>
  <si>
    <t>EUG0066060</t>
  </si>
  <si>
    <t>Panel frontal central Cs-220 (51192)</t>
  </si>
  <si>
    <t>EUG0066204</t>
  </si>
  <si>
    <t>Contenedor de cápsulas gemini (42603)</t>
  </si>
  <si>
    <t>EUG0066207</t>
  </si>
  <si>
    <t>Alojamiento deposito de agua izq. gemini (42647)</t>
  </si>
  <si>
    <t>EUG0066208</t>
  </si>
  <si>
    <t>Alojamiento deposito agua dere. gemin (42648)</t>
  </si>
  <si>
    <t>EUG0066926</t>
  </si>
  <si>
    <t>Cubierta cont.residuos  bandeja lateral 702 Macchiato (50405)</t>
  </si>
  <si>
    <t>EUG0066932</t>
  </si>
  <si>
    <t>Cubierta bandeja central 702 Cappucino Macchiato (50412)</t>
  </si>
  <si>
    <t>EUG0066934</t>
  </si>
  <si>
    <t>Panel frontal central CS203 (EUG0051191)</t>
  </si>
  <si>
    <t>EUG0067795</t>
  </si>
  <si>
    <t>Caudalimetro Momento</t>
  </si>
  <si>
    <t>EUG0067799</t>
  </si>
  <si>
    <t>Contador volumétrico (67793)</t>
  </si>
  <si>
    <t>EUG0068272</t>
  </si>
  <si>
    <t>Soporte electroválvula entrada agua</t>
  </si>
  <si>
    <t>EUG0069095</t>
  </si>
  <si>
    <t>Codo bomba GEMINI (49451)</t>
  </si>
  <si>
    <t>EUG0069293</t>
  </si>
  <si>
    <t>Junta D09,0xd5,00x150mm</t>
  </si>
  <si>
    <t>EUG0069644</t>
  </si>
  <si>
    <t>Sensor thermoblok capuccinador gemini (35584)</t>
  </si>
  <si>
    <t>EUG0069915</t>
  </si>
  <si>
    <t>Engranaje motor grupo de café GEMINI (53028)</t>
  </si>
  <si>
    <t>EUG0070732</t>
  </si>
  <si>
    <t>Cont. capsulas derecho Base Cabinet. (43399)</t>
  </si>
  <si>
    <t>EUG0070733</t>
  </si>
  <si>
    <t>Cont. capsulas izquierdo Base Cabinet. (42667)</t>
  </si>
  <si>
    <t>EUG0070851</t>
  </si>
  <si>
    <t>Sensor reed para deposito de agua gemini (29082)</t>
  </si>
  <si>
    <t>EUG0071881</t>
  </si>
  <si>
    <t>Junta vapor 003,40x1,90 silic/2-K (EUG0024374)</t>
  </si>
  <si>
    <t>EUG0072203</t>
  </si>
  <si>
    <t>Valvula salida gemini V3 (50001)</t>
  </si>
  <si>
    <t>EUG0077079</t>
  </si>
  <si>
    <t>Reten valvula entrada agua (26089)</t>
  </si>
  <si>
    <t>EUG0081598</t>
  </si>
  <si>
    <t>Termofusible 167ºC Blanco CS203/223</t>
  </si>
  <si>
    <t>EUG0081599</t>
  </si>
  <si>
    <t>Termofusible Marrón 192ºC CS223</t>
  </si>
  <si>
    <t>EUG0082222</t>
  </si>
  <si>
    <t>Termofusible 167ºC Gris CS203/223</t>
  </si>
  <si>
    <t>EUG0082226</t>
  </si>
  <si>
    <t>Cable tierra</t>
  </si>
  <si>
    <t>EUG0082227</t>
  </si>
  <si>
    <t>Cable tierra 130/300/330/340/350</t>
  </si>
  <si>
    <t>EUG0082777</t>
  </si>
  <si>
    <t>Motor grupo de café CS203/223</t>
  </si>
  <si>
    <t>EUG0083238</t>
  </si>
  <si>
    <t>Electrovalvula vapor CS20-CS220 (58745)(0083235)</t>
  </si>
  <si>
    <t>EUG0084914</t>
  </si>
  <si>
    <t>Cubierta metálica</t>
  </si>
  <si>
    <t>EUG0085125</t>
  </si>
  <si>
    <t>Termofusible 167ºC Azul CS203/223</t>
  </si>
  <si>
    <t>EUG0085990</t>
  </si>
  <si>
    <t>Embellecedor negro salida café GEMINI (42605)</t>
  </si>
  <si>
    <t>EUG0086803</t>
  </si>
  <si>
    <t>Ducha Gemini CS203/223 (52030)</t>
  </si>
  <si>
    <t>EUG0087233</t>
  </si>
  <si>
    <t>Boquilla metálica salida agua Cs-200 (42835)</t>
  </si>
  <si>
    <t>EUG0087640</t>
  </si>
  <si>
    <t>Antisalpicaduras Bandeja CS220 (50409)</t>
  </si>
  <si>
    <t>EUG0091745</t>
  </si>
  <si>
    <t>Adaptador cable D-Sub9 negro</t>
  </si>
  <si>
    <t>EUG0092181</t>
  </si>
  <si>
    <t>Display CS203/223 (85780)</t>
  </si>
  <si>
    <t>EUG0092929</t>
  </si>
  <si>
    <t>Embellecedor cromado grupo café gemini (52014)</t>
  </si>
  <si>
    <t>EUG0094425</t>
  </si>
  <si>
    <t>Tapa trasera CS203/223 (EUG0084800)</t>
  </si>
  <si>
    <t>EUG0094737</t>
  </si>
  <si>
    <t>Grupo de café CS203/223 (82873)</t>
  </si>
  <si>
    <t>EUG0095550</t>
  </si>
  <si>
    <t>Sensor IR CS203/223 (85781)</t>
  </si>
  <si>
    <t>EUG0095697</t>
  </si>
  <si>
    <t>Transformador CS203/223 (85785)</t>
  </si>
  <si>
    <t>EUG0095746</t>
  </si>
  <si>
    <t>Placa electrónica capuccinador CS223 (85779)</t>
  </si>
  <si>
    <t>MOMENTO</t>
  </si>
  <si>
    <t>EUG0107868</t>
  </si>
  <si>
    <t>Soporte placa calienta tazas negra 230</t>
  </si>
  <si>
    <t>EUG0107965</t>
  </si>
  <si>
    <t>Interior Plástico Marco Forntal NP010</t>
  </si>
  <si>
    <t>EUG0108088</t>
  </si>
  <si>
    <t>Tope Tapa Trasera Momento</t>
  </si>
  <si>
    <t>EUG0108090</t>
  </si>
  <si>
    <t xml:space="preserve">Manija Momento </t>
  </si>
  <si>
    <t>EUG0108125</t>
  </si>
  <si>
    <t>Tapa negra soporte taza Izq. 230</t>
  </si>
  <si>
    <t>EUG0108139</t>
  </si>
  <si>
    <t>Tapa negra soporte taza Der. 230</t>
  </si>
  <si>
    <t>EUG0108146</t>
  </si>
  <si>
    <t>Gancho placa calienta tazas negra 230</t>
  </si>
  <si>
    <t>EUG0108333</t>
  </si>
  <si>
    <t>Cubierta Inferior Marco Forntal NP010</t>
  </si>
  <si>
    <t>MOMENTO MILK</t>
  </si>
  <si>
    <t>EUG0108337</t>
  </si>
  <si>
    <t>Cubierta Inferior Puerta Nevera M120</t>
  </si>
  <si>
    <t>EUG0108339</t>
  </si>
  <si>
    <t>Frontal Puerta M120</t>
  </si>
  <si>
    <t>EUG0108375</t>
  </si>
  <si>
    <t>Cubierta Superior Marco Forntal NP010</t>
  </si>
  <si>
    <t>EUG0108381</t>
  </si>
  <si>
    <t>Cubierta Superior Puerta Nevera M120</t>
  </si>
  <si>
    <t>EUG0108411</t>
  </si>
  <si>
    <t>Marco frontal NP010</t>
  </si>
  <si>
    <t>EUG0108523</t>
  </si>
  <si>
    <t>Junta D09,0xd5,00x400mm</t>
  </si>
  <si>
    <t>EUG0108629</t>
  </si>
  <si>
    <t>Placa deteccion cajon Momento</t>
  </si>
  <si>
    <t>EUG0108630</t>
  </si>
  <si>
    <t>Placa control PCB Momento</t>
  </si>
  <si>
    <t>EUG0108631</t>
  </si>
  <si>
    <t>Placa contro PCB 100-240V/50/60Hz Momento</t>
  </si>
  <si>
    <t>EUG0108656</t>
  </si>
  <si>
    <t>Thermoblock 230V/1100W Momento</t>
  </si>
  <si>
    <t>EUG0108657</t>
  </si>
  <si>
    <t>Tubo entrada de agua bomba Momento</t>
  </si>
  <si>
    <t>EUG0108686</t>
  </si>
  <si>
    <t>Cubierta Goma Tope Trasero Momento</t>
  </si>
  <si>
    <t>EUG0108725</t>
  </si>
  <si>
    <t>Tapon bandeja momento</t>
  </si>
  <si>
    <t>EUG0108756</t>
  </si>
  <si>
    <t>Tapa Trasera M100</t>
  </si>
  <si>
    <t>EUG0108757</t>
  </si>
  <si>
    <t>Tapa Trasera M120 / M200</t>
  </si>
  <si>
    <t>EUG0108758</t>
  </si>
  <si>
    <t>Panel lateral izquierdo</t>
  </si>
  <si>
    <t>EUG0108759</t>
  </si>
  <si>
    <t>Panel lateral derecho</t>
  </si>
  <si>
    <t>EUG0108761</t>
  </si>
  <si>
    <t>Alojamiento depósitos agua M200</t>
  </si>
  <si>
    <t>EUG0108875</t>
  </si>
  <si>
    <t>PTC calientatazas Momento 100</t>
  </si>
  <si>
    <t>EUG0108876</t>
  </si>
  <si>
    <t>PTC calientatazas Momento 200</t>
  </si>
  <si>
    <t>EUG0108895</t>
  </si>
  <si>
    <t>Anillo tórico 005,23x2,62</t>
  </si>
  <si>
    <t>EUG0108912</t>
  </si>
  <si>
    <t>Manguera D09,0xd5,00x370mm V2</t>
  </si>
  <si>
    <t>EUG0109225</t>
  </si>
  <si>
    <t>Nut M4 4-face Inox, bl galvan Momento</t>
  </si>
  <si>
    <t>EUG0109268</t>
  </si>
  <si>
    <t>Conector 3x AWG24 Caudalimetro Momento</t>
  </si>
  <si>
    <t>EUG0109276</t>
  </si>
  <si>
    <t>Conector 4x AWG24 Momento</t>
  </si>
  <si>
    <t>EUG0109277</t>
  </si>
  <si>
    <t>Conector 13x AWG28</t>
  </si>
  <si>
    <t>EUG0109279</t>
  </si>
  <si>
    <t>Conector 5x AWG28 Momento</t>
  </si>
  <si>
    <t>EUG0109280</t>
  </si>
  <si>
    <t>Cable detector presencia bandeja Capsulas</t>
  </si>
  <si>
    <t>EUG0109305</t>
  </si>
  <si>
    <t>Conector 4x AWG28 Momento 200</t>
  </si>
  <si>
    <t>EUG0109320</t>
  </si>
  <si>
    <t>Cable de conexión para kit DWC M120</t>
  </si>
  <si>
    <t>EUG0109321</t>
  </si>
  <si>
    <t>Conector 5x AWG28 Momento Milk</t>
  </si>
  <si>
    <t>EUG0109352</t>
  </si>
  <si>
    <t>Fuente alimentación LRS 100-24 GWT Momento</t>
  </si>
  <si>
    <t>EUG0109359</t>
  </si>
  <si>
    <t>Led iluminación taza Momento</t>
  </si>
  <si>
    <t>EUG0109386</t>
  </si>
  <si>
    <t>Kit Conexión a red M200</t>
  </si>
  <si>
    <t>EUG0110898</t>
  </si>
  <si>
    <t>Abrazadera de manguera 8,0- 9,0mm V2</t>
  </si>
  <si>
    <t>EUG0111874</t>
  </si>
  <si>
    <t>Soporte apoyatazas Der. 230</t>
  </si>
  <si>
    <t>EUG0111875</t>
  </si>
  <si>
    <t>Soporte apoyataza Izq. 230</t>
  </si>
  <si>
    <t>EUG0112327</t>
  </si>
  <si>
    <t>Anillo torico D=5'28x1'78 negro V2 (EUG0001565)</t>
  </si>
  <si>
    <t>EUG0113199</t>
  </si>
  <si>
    <t>Cubeta descalcificación Momento</t>
  </si>
  <si>
    <t>EUG0113253</t>
  </si>
  <si>
    <t>Conector Momento</t>
  </si>
  <si>
    <t>EUG0113605</t>
  </si>
  <si>
    <t>Bandeja calienta tazas CS203/223 V5 (102298)</t>
  </si>
  <si>
    <t>EUG0114583</t>
  </si>
  <si>
    <t>Conector en T 3xF (EUG0061798)</t>
  </si>
  <si>
    <t>EUG0114673</t>
  </si>
  <si>
    <t>Kit Conexión a red M100 / M120</t>
  </si>
  <si>
    <t>EUG0114922</t>
  </si>
  <si>
    <t>Deposito de leche 704 V3 (51590)</t>
  </si>
  <si>
    <t>EUG0115411</t>
  </si>
  <si>
    <t>Rejilla Inox cont. residuos lateral 702 Macchiato (0050410)</t>
  </si>
  <si>
    <t>EUG0115412</t>
  </si>
  <si>
    <t>Rejilla Inox cont. residuos central 702 Macchiato (050411)</t>
  </si>
  <si>
    <t>EUG0115414</t>
  </si>
  <si>
    <t>Rejilla bandeja agua der./izq. gemini (42602)</t>
  </si>
  <si>
    <t>EUG0116754</t>
  </si>
  <si>
    <t>Contenedor capsulas negro Momento 100</t>
  </si>
  <si>
    <t>EUG0116843</t>
  </si>
  <si>
    <t>Llave puerta depósito Momento</t>
  </si>
  <si>
    <t>EUG0116887</t>
  </si>
  <si>
    <t>Puerta Momento 200</t>
  </si>
  <si>
    <t>EUG0116888</t>
  </si>
  <si>
    <t>Acople Chasis Momento a depósito agua</t>
  </si>
  <si>
    <t>EUG0116889</t>
  </si>
  <si>
    <t>Puerta Momento 100</t>
  </si>
  <si>
    <t>EUG0116896</t>
  </si>
  <si>
    <t>Boca Salida café NP010</t>
  </si>
  <si>
    <t>EUG0116911</t>
  </si>
  <si>
    <t>Tubo silicona reforzado 190/110mm/nipple/hose clamp/magn valve Momento</t>
  </si>
  <si>
    <t>EUG0116912</t>
  </si>
  <si>
    <t>Tubo silicona reforzado 340mm/outlet/hose clamp Momento</t>
  </si>
  <si>
    <t>EUG0116913</t>
  </si>
  <si>
    <t>Tubo silicona reforzado 64mm/nipple/outlet/hose clamp Momento</t>
  </si>
  <si>
    <t>EUG0116952</t>
  </si>
  <si>
    <t>Carcasa tornillo sujeción modulo a Chasis Momento</t>
  </si>
  <si>
    <t>EUG0118490</t>
  </si>
  <si>
    <t>Detección de capsula electrónica Momento</t>
  </si>
  <si>
    <t>EUG0118491</t>
  </si>
  <si>
    <t>Placa Electrónica Conexión Módulo Izquierdo Momento</t>
  </si>
  <si>
    <t>EUG0118492</t>
  </si>
  <si>
    <t>Placa Electrónica Conexión Módulo Derecha Momento</t>
  </si>
  <si>
    <t>EUG0118495</t>
  </si>
  <si>
    <t>Electrónica EU Momento</t>
  </si>
  <si>
    <t>EUG0119424</t>
  </si>
  <si>
    <t>Motor Unidad extracción Momento</t>
  </si>
  <si>
    <t>EUG0120718</t>
  </si>
  <si>
    <t>Fusible 10A/500V 6,3x32mm Momento</t>
  </si>
  <si>
    <t>EUG0121296</t>
  </si>
  <si>
    <t>Espuma protectora tubo Bomba - TB</t>
  </si>
  <si>
    <t>EUG0123728</t>
  </si>
  <si>
    <t>Tornillo de repuesto embalado Momento</t>
  </si>
  <si>
    <t>EUG0124989</t>
  </si>
  <si>
    <t>Rejilla bandeja de goteo inox Momento 100 (0108323)</t>
  </si>
  <si>
    <t>EUG0124991</t>
  </si>
  <si>
    <t>Rejilla bandeja goteo inox Momento 200 y 120 (0108325)</t>
  </si>
  <si>
    <t>EUG0125383</t>
  </si>
  <si>
    <t>Soporte taza derecha Momento (0111872)</t>
  </si>
  <si>
    <t>EUG0125384</t>
  </si>
  <si>
    <t>Soporte taza izquierdo Momento 200 (0111873)</t>
  </si>
  <si>
    <t>EUG0125578</t>
  </si>
  <si>
    <t>Botonera café GEMINI V3 (51084)</t>
  </si>
  <si>
    <t>EUG0125579</t>
  </si>
  <si>
    <t>Módulo teclado CS203 (85777)</t>
  </si>
  <si>
    <t>EUG0125580</t>
  </si>
  <si>
    <t>Módulo teclado CS223</t>
  </si>
  <si>
    <t>EUG0127414</t>
  </si>
  <si>
    <t>Holder 230 water tank V2 black</t>
  </si>
  <si>
    <t>EUG0127417</t>
  </si>
  <si>
    <t>Connect 230 V2 neutral</t>
  </si>
  <si>
    <t>EUG0128457</t>
  </si>
  <si>
    <t>Válvula magnética de Salida - M120</t>
  </si>
  <si>
    <t>EUG0128480</t>
  </si>
  <si>
    <t>Válvula magnética RF-Box -M120</t>
  </si>
  <si>
    <t>EUG0128485</t>
  </si>
  <si>
    <t>Placa Electrónica Sistema Leche - M120</t>
  </si>
  <si>
    <t>EUG0128488</t>
  </si>
  <si>
    <t>Sensor Reed RF-Box -M120</t>
  </si>
  <si>
    <t>EUG0128489</t>
  </si>
  <si>
    <t>Válvula magnética 24V DC,ETV-220 -M120</t>
  </si>
  <si>
    <t>EUG0128491</t>
  </si>
  <si>
    <t>Válvula magnética Vapor -M120</t>
  </si>
  <si>
    <t>EUG0128494</t>
  </si>
  <si>
    <t>Válvula Vapor Agua Caliente -M120</t>
  </si>
  <si>
    <t>EUG0128590</t>
  </si>
  <si>
    <t>Cubierta Plástico Bandeja Goteo V3 M200</t>
  </si>
  <si>
    <t>EUG0128591</t>
  </si>
  <si>
    <t>Cubierta Plástico Bandeja Goteo V2 M100</t>
  </si>
  <si>
    <t>EUG0128683</t>
  </si>
  <si>
    <t>Sello negro RF-Box - M120</t>
  </si>
  <si>
    <t>EUG0128686</t>
  </si>
  <si>
    <t>Soporte Micro Interruptores Módulo Nevera - M120</t>
  </si>
  <si>
    <t>EUG0128798</t>
  </si>
  <si>
    <t>Ventilador Nevera M120</t>
  </si>
  <si>
    <t>EUG0128803</t>
  </si>
  <si>
    <t>Tubo D06,0xd4,00x285mm -M120</t>
  </si>
  <si>
    <t>EUG0128804</t>
  </si>
  <si>
    <t>Tubo D06,0xd4,00x202mm - M120</t>
  </si>
  <si>
    <t>EUG0128806</t>
  </si>
  <si>
    <t>Conector L Válvula Sálida M120</t>
  </si>
  <si>
    <t>EUG0128807</t>
  </si>
  <si>
    <t>Tubo D06,0xd4,00x106mm -M120</t>
  </si>
  <si>
    <t>EUG0128812</t>
  </si>
  <si>
    <t>Cubierta RF-Box - M120</t>
  </si>
  <si>
    <t>EUG0128814</t>
  </si>
  <si>
    <t>Conector Agua RF-BOX - M120</t>
  </si>
  <si>
    <t>EUG0128815</t>
  </si>
  <si>
    <t>Tubo Succión Leche,L=197mm - M120</t>
  </si>
  <si>
    <t>EUG0128816</t>
  </si>
  <si>
    <t>Cámara Calentamiento Vapor - M120</t>
  </si>
  <si>
    <t>EUG0128817</t>
  </si>
  <si>
    <t>Tubo D08,5xd4,00x160mm - M120</t>
  </si>
  <si>
    <t>EUG0128823</t>
  </si>
  <si>
    <t>Micro Interruptores Módulo Nevera - M120</t>
  </si>
  <si>
    <t>EUG0128824</t>
  </si>
  <si>
    <t>Tubo D04,0xd2,00x480mm - M120</t>
  </si>
  <si>
    <t>EUG0128826</t>
  </si>
  <si>
    <t>Tubo D04,0xd2,00x175mm - M120</t>
  </si>
  <si>
    <t>EUG0128827</t>
  </si>
  <si>
    <t>Cubierta negra Protección contra el agua de la PCB - M120</t>
  </si>
  <si>
    <t>EUG0128828</t>
  </si>
  <si>
    <t>Tubo D04,0xd2,00x295mm - M120</t>
  </si>
  <si>
    <t>EUG0128831</t>
  </si>
  <si>
    <t>Tubo D04,0xd2,00x315mm - M120</t>
  </si>
  <si>
    <t>EUG0128833</t>
  </si>
  <si>
    <t>Caldera Leche Beltrami - M120</t>
  </si>
  <si>
    <t>EUG0128834</t>
  </si>
  <si>
    <t>Salida Desagüe - M120</t>
  </si>
  <si>
    <t>EUG0128836</t>
  </si>
  <si>
    <t>Válvula de Retorno - M120</t>
  </si>
  <si>
    <t>EUG0128837</t>
  </si>
  <si>
    <t>Unidad enfriamiento (Sin módulo Hidráulico ni PCB) - M120</t>
  </si>
  <si>
    <t>EUG0128838</t>
  </si>
  <si>
    <t>Conector Rápido entrada agua - M120</t>
  </si>
  <si>
    <t>EUG0128839</t>
  </si>
  <si>
    <t>Sensor Temperatura Vapor TC 47kOhm - M120</t>
  </si>
  <si>
    <t>EUG0128841</t>
  </si>
  <si>
    <t>Conjunto Contenedores Leche / Limpieza - M120</t>
  </si>
  <si>
    <t>EUG0128842</t>
  </si>
  <si>
    <t>Conector Agua Nevera - M120</t>
  </si>
  <si>
    <t>EUG0128845</t>
  </si>
  <si>
    <t>Tubo Moldeado Rojo - M120</t>
  </si>
  <si>
    <t>EUG0128846</t>
  </si>
  <si>
    <t>Bomba Vibración Agua - M120</t>
  </si>
  <si>
    <t>EUG0128849</t>
  </si>
  <si>
    <t>Conector Forma T - M120</t>
  </si>
  <si>
    <t>EUG0128850</t>
  </si>
  <si>
    <t>Conector Negro Forma Y - Salida desagüe M120</t>
  </si>
  <si>
    <t>EUG0128851</t>
  </si>
  <si>
    <t>Codo Bomba Leche - M120</t>
  </si>
  <si>
    <t>EUG0128852</t>
  </si>
  <si>
    <t>Conector Rápido Forma I - M120</t>
  </si>
  <si>
    <t>EUG0128854</t>
  </si>
  <si>
    <t>Conector Rápido Forma Y - M120</t>
  </si>
  <si>
    <t>EUG0128855</t>
  </si>
  <si>
    <t>Conector Boquilla Codo Bomba Leche - M120</t>
  </si>
  <si>
    <t>EUG0128857</t>
  </si>
  <si>
    <t>Conector Reductor Caudal NTC Vapor - M120</t>
  </si>
  <si>
    <t>EUG0128861</t>
  </si>
  <si>
    <t>Conjunto cables Señal - M120</t>
  </si>
  <si>
    <t>EUG0128878</t>
  </si>
  <si>
    <t>Sensor Presión - M120</t>
  </si>
  <si>
    <t>EUG0128985</t>
  </si>
  <si>
    <t>Conjunto Conexión Leche Nevera M120</t>
  </si>
  <si>
    <t>EUG0129217</t>
  </si>
  <si>
    <t>Bandeja agua directa M100</t>
  </si>
  <si>
    <t>EUG0129218</t>
  </si>
  <si>
    <t>Bandeja agua directa M120 y  M200</t>
  </si>
  <si>
    <t>EUG0129367</t>
  </si>
  <si>
    <t>Junta Goma Desagüe Momento</t>
  </si>
  <si>
    <t>EUG0132339</t>
  </si>
  <si>
    <t>Tapa deposito de limpieza Momento M120</t>
  </si>
  <si>
    <t>EUG0134383</t>
  </si>
  <si>
    <t>Tapa deposito agua gemini (0104523)</t>
  </si>
  <si>
    <t>EUG0134384</t>
  </si>
  <si>
    <t>Sop. termoblock capuccino gemini CS223 (104525)</t>
  </si>
  <si>
    <t>EUG0135671</t>
  </si>
  <si>
    <t>Bandeja de goteo M100 (EUG0111876)</t>
  </si>
  <si>
    <t>EUG0135672</t>
  </si>
  <si>
    <t>Bandeja de goteo M200 (EUG0111877)</t>
  </si>
  <si>
    <t>EUG0135734</t>
  </si>
  <si>
    <t>Kit Mantenimiento Unidad Extracción 230 (EUG0119346)</t>
  </si>
  <si>
    <t>EUG0135876</t>
  </si>
  <si>
    <t>Válvula Aire V2 (EUG0128695) - M120</t>
  </si>
  <si>
    <t>EUG0136252</t>
  </si>
  <si>
    <t>Placa electrónica CS203/223 (119286)</t>
  </si>
  <si>
    <t>EUG0136542</t>
  </si>
  <si>
    <t>Conector Chasis Módulo Momento</t>
  </si>
  <si>
    <t>EUG0136634</t>
  </si>
  <si>
    <t>Modem Momento</t>
  </si>
  <si>
    <t>EUG0136795</t>
  </si>
  <si>
    <t>Unidad extracción Momento (EUG0108519)</t>
  </si>
  <si>
    <t>EUG0137045</t>
  </si>
  <si>
    <t>Bandeja calientatzas V2 M100</t>
  </si>
  <si>
    <t>EUG0137600</t>
  </si>
  <si>
    <t>Placa Electronica Módulo Café Momento NP010</t>
  </si>
  <si>
    <t>EUG0138134</t>
  </si>
  <si>
    <t>Contacto Interno bandeja de goteo Momento</t>
  </si>
  <si>
    <t>EUG0142704</t>
  </si>
  <si>
    <t>Bandeja calientatzas V3 M200</t>
  </si>
  <si>
    <t>EUG0142705</t>
  </si>
  <si>
    <t>Calientatazas M120 &amp; M200</t>
  </si>
  <si>
    <t>EUG0144516</t>
  </si>
  <si>
    <t>Cubierta Metálica Grupo Café &amp; Display NP010</t>
  </si>
  <si>
    <t>EUG0145349</t>
  </si>
  <si>
    <t>Deposito de agua Momento Milk V4 (EUG0130765)</t>
  </si>
  <si>
    <t>EUG0145350</t>
  </si>
  <si>
    <t>Deposito de agua transparente Momento V4 (130764)</t>
  </si>
  <si>
    <t>EUG0146546</t>
  </si>
  <si>
    <t>Conjunto Boca Entrada Cápsulas New + Motor</t>
  </si>
  <si>
    <t>EUG0146560</t>
  </si>
  <si>
    <t>Boca Entrada Capsulas New</t>
  </si>
  <si>
    <t>EUG0146888</t>
  </si>
  <si>
    <t>Placa control indicador nivel de agua Momento 100 V3 (EUG0119235)</t>
  </si>
  <si>
    <t>EUG0146915</t>
  </si>
  <si>
    <t>Unidad extracción Momento (EUG0136795)</t>
  </si>
  <si>
    <t>EUG0147160</t>
  </si>
  <si>
    <t>Válvula de vaciado Milk V2 (EUG0128844)</t>
  </si>
  <si>
    <t>EUG0147161</t>
  </si>
  <si>
    <t>Tubo Teflón Diámetro 4mm Largo 85mm</t>
  </si>
  <si>
    <t>EUG0147162</t>
  </si>
  <si>
    <t>Tubo Teflón Diámetro 6mm Largo 125mm (EUG0128802)</t>
  </si>
  <si>
    <t>EUG0147163</t>
  </si>
  <si>
    <t>Tubo Teflón Diámetro 4mm Largo 290mm (EUG0128829)</t>
  </si>
  <si>
    <t>EUG0147164</t>
  </si>
  <si>
    <t>Conexión I RF-Box – Bomba Leche</t>
  </si>
  <si>
    <t>EUG0147266</t>
  </si>
  <si>
    <t>Electrovalvula Descarga Gemini/Momento (0083239)</t>
  </si>
  <si>
    <t>EUG0147412</t>
  </si>
  <si>
    <t>Spare milk module NP020-1 V2 (EUG0131380)</t>
  </si>
  <si>
    <t>EUG0149896</t>
  </si>
  <si>
    <t>Bandeja de goteo M10 V3 Magnetico (EUG0135671)</t>
  </si>
  <si>
    <t>EUG0149897</t>
  </si>
  <si>
    <t>Bandeja de goteo M120/200 (EUG0135672) V3 Magnetico</t>
  </si>
  <si>
    <t>EUG0150888</t>
  </si>
  <si>
    <t>Bomba Leche V3 24V (0138963)  - M120</t>
  </si>
  <si>
    <t>EUG0151249</t>
  </si>
  <si>
    <t>Soporte Sensor Nivel Agua Momento</t>
  </si>
  <si>
    <t>EUG0151915</t>
  </si>
  <si>
    <t>Puerta nevera – M120</t>
  </si>
  <si>
    <t>EUG0152287</t>
  </si>
  <si>
    <t>Válvula de Retorno - M120 V2 (EUG0128836)</t>
  </si>
  <si>
    <t>EUG0153292</t>
  </si>
  <si>
    <t>Electrónica packed MMI Momento (EUG0142993)</t>
  </si>
  <si>
    <t>AGUILA</t>
  </si>
  <si>
    <t>EUNA000164</t>
  </si>
  <si>
    <t>Condensador 8MF 450V</t>
  </si>
  <si>
    <t>TERMO</t>
  </si>
  <si>
    <t>EUNA019072</t>
  </si>
  <si>
    <t>Piloto rojo 10mm 230V Marmita Alpeninox (101018)</t>
  </si>
  <si>
    <t>EUNA047439</t>
  </si>
  <si>
    <t>Resistencia Termo</t>
  </si>
  <si>
    <t>EUNA08758400</t>
  </si>
  <si>
    <t>Interruptor Modulo Vapor QE (QE08758400)</t>
  </si>
  <si>
    <t>EUNA089831</t>
  </si>
  <si>
    <t>Resistencia 1000W Termo leche T-5 Klaxon (89831)</t>
  </si>
  <si>
    <t>EUNA095773</t>
  </si>
  <si>
    <t>Bandeja de goteo Termo de leche 5L</t>
  </si>
  <si>
    <t>EUNA095774</t>
  </si>
  <si>
    <t>Rejilla bandeja de goteo Termo de leche 5L</t>
  </si>
  <si>
    <t>EUNA119497</t>
  </si>
  <si>
    <t>Bomba vibratoria ULKA 230V 50Hz 48W EP4GW</t>
  </si>
  <si>
    <t>EUNA143</t>
  </si>
  <si>
    <t>Termostato Calderin 90ºC 15A 250V</t>
  </si>
  <si>
    <t>EUNA17458/002</t>
  </si>
  <si>
    <t>Junta goma 1/2 18x11x2mm *WTH08761318*</t>
  </si>
  <si>
    <t>EUNA17459/002</t>
  </si>
  <si>
    <t>Junta goma 3/8 15x8x3mm *WTH08761014*</t>
  </si>
  <si>
    <t>EUNA223/002</t>
  </si>
  <si>
    <t>Racor 3/4 Hembra 3/8 Macho</t>
  </si>
  <si>
    <t>EUNA227/002</t>
  </si>
  <si>
    <t>Racor 1/2 Hembra 1/2 Macho *WTHE577005121*</t>
  </si>
  <si>
    <t>EUNA233/002</t>
  </si>
  <si>
    <t>Racor tapón 3/8 Hembra *WTHE57711138*</t>
  </si>
  <si>
    <t>EUNA251/010</t>
  </si>
  <si>
    <t>Junta goma entrada agua 24x14x2mm</t>
  </si>
  <si>
    <t>EUNA452</t>
  </si>
  <si>
    <t>Grifo cierre 3/8 macho 3/8 hembra</t>
  </si>
  <si>
    <t>EUNA9480</t>
  </si>
  <si>
    <t>Junta membrana grifo GAYC/klaxon</t>
  </si>
  <si>
    <t>EUNA9504</t>
  </si>
  <si>
    <t>Grifo termo Klaxon</t>
  </si>
  <si>
    <t>EUNA9506</t>
  </si>
  <si>
    <t>Junta goma cierre depósito Klaxon</t>
  </si>
  <si>
    <t>EUNA9523</t>
  </si>
  <si>
    <t>Resistencia Termo 1200W 230V</t>
  </si>
  <si>
    <t>EUNA9525</t>
  </si>
  <si>
    <t>Junta cierre depósito Norson</t>
  </si>
  <si>
    <t>PAID</t>
  </si>
  <si>
    <t>EVO262595</t>
  </si>
  <si>
    <t>Cubierta izquierda</t>
  </si>
  <si>
    <t>EVO262597</t>
  </si>
  <si>
    <t>Cubierta Derecha</t>
  </si>
  <si>
    <t>EVO262605</t>
  </si>
  <si>
    <t>Contenedor</t>
  </si>
  <si>
    <t>EVO262610</t>
  </si>
  <si>
    <t>Rampa interna</t>
  </si>
  <si>
    <t>EVO262613</t>
  </si>
  <si>
    <t>Casquillo</t>
  </si>
  <si>
    <t>EVO262615</t>
  </si>
  <si>
    <t>Soporte interfaz puerta derecha</t>
  </si>
  <si>
    <t>EVO262619</t>
  </si>
  <si>
    <t>Perfil inferior puerta izquierda</t>
  </si>
  <si>
    <t>EVO262621</t>
  </si>
  <si>
    <t>Perfil superior puerta izquierda</t>
  </si>
  <si>
    <t>EVO262626</t>
  </si>
  <si>
    <t>Rampa</t>
  </si>
  <si>
    <t>EVO262627</t>
  </si>
  <si>
    <t>Marco frontal -Vers. SBS-</t>
  </si>
  <si>
    <t>EVO262628</t>
  </si>
  <si>
    <t>Marco frontal -Vers. Tower-</t>
  </si>
  <si>
    <t>EVO262631</t>
  </si>
  <si>
    <t>Correa</t>
  </si>
  <si>
    <t>EVO262640</t>
  </si>
  <si>
    <t>Árbol central</t>
  </si>
  <si>
    <t>EVO262642</t>
  </si>
  <si>
    <t>Marco derecho puerta</t>
  </si>
  <si>
    <t>EVO262643</t>
  </si>
  <si>
    <t>Marco derecho puerta-Nayax-</t>
  </si>
  <si>
    <t>EVO262644</t>
  </si>
  <si>
    <t>Marco derecho puerta -Micr-</t>
  </si>
  <si>
    <t>EVO262649</t>
  </si>
  <si>
    <t>Cableado conexión</t>
  </si>
  <si>
    <t>EVO262652</t>
  </si>
  <si>
    <t>Tarjeta distribuidor</t>
  </si>
  <si>
    <t>EVO262655</t>
  </si>
  <si>
    <t>Conjunto perno cerradura -Vers. Tower-</t>
  </si>
  <si>
    <t>EVO262658</t>
  </si>
  <si>
    <t>Pantalla táctil</t>
  </si>
  <si>
    <t>EVO262663</t>
  </si>
  <si>
    <t>Conjunto base giratoria</t>
  </si>
  <si>
    <t>EVO262664</t>
  </si>
  <si>
    <t>Soporte central</t>
  </si>
  <si>
    <t>EVO262665</t>
  </si>
  <si>
    <t>Conjunto motor arrastrador</t>
  </si>
  <si>
    <t>EVO262666</t>
  </si>
  <si>
    <t>Conjunto bandeja</t>
  </si>
  <si>
    <t>EVO262669</t>
  </si>
  <si>
    <t>Brazo de toma</t>
  </si>
  <si>
    <t>EVO262703</t>
  </si>
  <si>
    <t>Llave + Bombin cerradura dispensador momento</t>
  </si>
  <si>
    <t>EVO262924</t>
  </si>
  <si>
    <t>Cableado Nayax</t>
  </si>
  <si>
    <t>EVO263780</t>
  </si>
  <si>
    <t>Alimentador</t>
  </si>
  <si>
    <t>EVO263781</t>
  </si>
  <si>
    <t>Multiport Board</t>
  </si>
  <si>
    <t>EVO263783</t>
  </si>
  <si>
    <t>Interruptor bipolar</t>
  </si>
  <si>
    <t>EVO263784</t>
  </si>
  <si>
    <t>Sensor recepción individual</t>
  </si>
  <si>
    <t>EVO263819</t>
  </si>
  <si>
    <t>Llave cerradura dispensador momento</t>
  </si>
  <si>
    <t>EVO263893</t>
  </si>
  <si>
    <t>Ensamblaje del paracaídas de las cápsulas</t>
  </si>
  <si>
    <t>EVO263902</t>
  </si>
  <si>
    <t>Cerradura Paid con monetador</t>
  </si>
  <si>
    <t>EVO263938</t>
  </si>
  <si>
    <t>Unidad dispensadora derecha</t>
  </si>
  <si>
    <t>EVO263939</t>
  </si>
  <si>
    <t>Unidad dispensadora izquierda</t>
  </si>
  <si>
    <t>EVO263960</t>
  </si>
  <si>
    <t>Cableado de pago</t>
  </si>
  <si>
    <t>EZEBRA</t>
  </si>
  <si>
    <t>ETIQUETAS ZEBRA</t>
  </si>
  <si>
    <t>FILM_EMBAMAT</t>
  </si>
  <si>
    <t>FILTRO_ARMONICO</t>
  </si>
  <si>
    <t>FILTRO ARMONICO</t>
  </si>
  <si>
    <t>FOAM</t>
  </si>
  <si>
    <r>
      <t xml:space="preserve">Tubo espuma </t>
    </r>
    <r>
      <rPr>
        <sz val="11"/>
        <color rgb="FFFF0000"/>
        <rFont val="Aptos"/>
        <family val="2"/>
      </rPr>
      <t>- PEDIR SIEMPRE MULTIPLOS DE 1350</t>
    </r>
  </si>
  <si>
    <t>STEAMER PRO</t>
  </si>
  <si>
    <t>GEW98443</t>
  </si>
  <si>
    <t>Rejilla de goteo SP</t>
  </si>
  <si>
    <t>GEW98444</t>
  </si>
  <si>
    <t>Bandeja de goteo SP</t>
  </si>
  <si>
    <t>GEW98445</t>
  </si>
  <si>
    <t>Jarra de leche 400 ml SP</t>
  </si>
  <si>
    <t>GEW98446</t>
  </si>
  <si>
    <t>Jarra de leche 600 ml SP</t>
  </si>
  <si>
    <t>GEW98517</t>
  </si>
  <si>
    <t>Depósito agua SP</t>
  </si>
  <si>
    <t>GRUPO/2</t>
  </si>
  <si>
    <t>Grupo de café reparado</t>
  </si>
  <si>
    <t>KIT-BASIC-CS203</t>
  </si>
  <si>
    <t>Kit Basic Refurbishment CS203</t>
  </si>
  <si>
    <t>KIT-BASIC-CS223</t>
  </si>
  <si>
    <t>Kit Basic Refurbishment CS223</t>
  </si>
  <si>
    <t>KIT-BASIC-ZENIUS</t>
  </si>
  <si>
    <t>Kit Basic Refurbishment ZN100</t>
  </si>
  <si>
    <t>KIT-CS203</t>
  </si>
  <si>
    <t>Kit Full Refurbishment CS203</t>
  </si>
  <si>
    <t>KIT-CS223</t>
  </si>
  <si>
    <t>Kit Full Refurbishment CS223</t>
  </si>
  <si>
    <t>KIT-ZENIUS</t>
  </si>
  <si>
    <t>Kit Full Refurbishment ZN100</t>
  </si>
  <si>
    <t>LYGUANTE_L</t>
  </si>
  <si>
    <t>GUANTE NARANJA_9_M_50uds</t>
  </si>
  <si>
    <t>LYGUANTE_M</t>
  </si>
  <si>
    <t>GUANTE NARANJA_8_M_50uds</t>
  </si>
  <si>
    <t>LYGUANTE_S</t>
  </si>
  <si>
    <t>GUANTE NARANJA_7_S_50uds</t>
  </si>
  <si>
    <t>LYGUANTE_XL</t>
  </si>
  <si>
    <t>GUANTE NARANJA_7_XL_50uds</t>
  </si>
  <si>
    <t>MKB1354</t>
  </si>
  <si>
    <t>STICKER QR LIMPIEZA AGUILA</t>
  </si>
  <si>
    <t>MKB1362</t>
  </si>
  <si>
    <r>
      <t>Tarjetones Maquinas revisada_A5_250 uds -</t>
    </r>
    <r>
      <rPr>
        <sz val="11"/>
        <color rgb="FFFF0000"/>
        <rFont val="Aptos"/>
        <family val="2"/>
      </rPr>
      <t xml:space="preserve"> PEDIR SIEMPRE MULTIPLOS DE 250</t>
    </r>
  </si>
  <si>
    <t>MKBVIN</t>
  </si>
  <si>
    <t>Vinilo Botonera Central CS</t>
  </si>
  <si>
    <t>PRECINTO_EMBAMAT</t>
  </si>
  <si>
    <t>QE00165209</t>
  </si>
  <si>
    <t>Junta de resistencia</t>
  </si>
  <si>
    <t>QE00225805</t>
  </si>
  <si>
    <t>Tapón 1/4"G Macho</t>
  </si>
  <si>
    <t>QE01626804</t>
  </si>
  <si>
    <t>Arandela 13,5,17x1,5Cu</t>
  </si>
  <si>
    <t>QE02325009</t>
  </si>
  <si>
    <t>Tapón 1/2"G E-26</t>
  </si>
  <si>
    <t>QE02455103</t>
  </si>
  <si>
    <t>Junta metaloplástica</t>
  </si>
  <si>
    <t>QE02476703</t>
  </si>
  <si>
    <t>Junta tórica 50</t>
  </si>
  <si>
    <t>QE0298302</t>
  </si>
  <si>
    <t>Presostato XP110 0,2/1,2 BAR (QE08532200)</t>
  </si>
  <si>
    <t>QE03001500</t>
  </si>
  <si>
    <t>QE04122115</t>
  </si>
  <si>
    <t>Tornillo EX3/8 UNC ASTM</t>
  </si>
  <si>
    <t>QE04548000</t>
  </si>
  <si>
    <t>Tornillo M5 x 10 Inox</t>
  </si>
  <si>
    <t>QE04596601</t>
  </si>
  <si>
    <t>Tor. M4x15C/Plana.Inox 25</t>
  </si>
  <si>
    <t>QE04821906</t>
  </si>
  <si>
    <t>Tor Au/2,9x19 inox07981</t>
  </si>
  <si>
    <t>QE05060600</t>
  </si>
  <si>
    <t>02f tUERCA 1/2 gas</t>
  </si>
  <si>
    <t>QE05118400</t>
  </si>
  <si>
    <t>Tuerca tecnia, 15461</t>
  </si>
  <si>
    <t>QE05132808</t>
  </si>
  <si>
    <t>Arandela teflón 17x22x1</t>
  </si>
  <si>
    <t>QE05160007</t>
  </si>
  <si>
    <t>Pasador aleta 2x12 D94</t>
  </si>
  <si>
    <t>QE0551/030136</t>
  </si>
  <si>
    <t>M12 Tuerca Enja. 310077-3</t>
  </si>
  <si>
    <t>QE0551/060121</t>
  </si>
  <si>
    <t>QE07358610</t>
  </si>
  <si>
    <t>Rarcord cuerpo grifo Cr.</t>
  </si>
  <si>
    <t>QE07411600</t>
  </si>
  <si>
    <t>Arandela Cu. 10,2x16,1,5</t>
  </si>
  <si>
    <t>QE07412208</t>
  </si>
  <si>
    <t>Arandela 17x22x1,5 Esp.Cu</t>
  </si>
  <si>
    <t>QE07413107</t>
  </si>
  <si>
    <t>Arandela 22,5x29x1,5 Lato</t>
  </si>
  <si>
    <t>QE07414501</t>
  </si>
  <si>
    <t>Arandela 6,4X22X1,5</t>
  </si>
  <si>
    <t>QE07467400</t>
  </si>
  <si>
    <t>Electrovalvula entrada agua</t>
  </si>
  <si>
    <t>QE07476906</t>
  </si>
  <si>
    <t>P/Termostat.55.32532.020</t>
  </si>
  <si>
    <t>QE07763204</t>
  </si>
  <si>
    <t>Junta tórica</t>
  </si>
  <si>
    <t>QE08074701</t>
  </si>
  <si>
    <t>Válvula seguridad común A 1,65</t>
  </si>
  <si>
    <t>QE08074703</t>
  </si>
  <si>
    <t>C. Valv. Seg. Caldera 1,8 (08560830)</t>
  </si>
  <si>
    <t>QE08165722</t>
  </si>
  <si>
    <t>Tubo salida vapor</t>
  </si>
  <si>
    <t>QE08207400</t>
  </si>
  <si>
    <t>Ducha vapor cappuccino</t>
  </si>
  <si>
    <t>QE08241800</t>
  </si>
  <si>
    <t>Circuito nivel 230V</t>
  </si>
  <si>
    <t>QE08324600</t>
  </si>
  <si>
    <t>Termostato</t>
  </si>
  <si>
    <t>QE08339000</t>
  </si>
  <si>
    <t>Protector tubo vapor D8</t>
  </si>
  <si>
    <t>QE08384200</t>
  </si>
  <si>
    <t>Piloto rojo dispensador (08241900)</t>
  </si>
  <si>
    <t>QE08389900</t>
  </si>
  <si>
    <t>Muello eje grifo</t>
  </si>
  <si>
    <t>QE08397800</t>
  </si>
  <si>
    <t>Tope rótula PTFE</t>
  </si>
  <si>
    <t>QE08416000</t>
  </si>
  <si>
    <t>Anillo 1500-8/6-1/8g</t>
  </si>
  <si>
    <t>QE08416010</t>
  </si>
  <si>
    <t>M09 Anillo 1500-6/4x1/8G</t>
  </si>
  <si>
    <t>QE08441900</t>
  </si>
  <si>
    <t>A07 Logo "Quality" resina</t>
  </si>
  <si>
    <t>QE08457600</t>
  </si>
  <si>
    <t>Tapón 1/8"G</t>
  </si>
  <si>
    <t>QE08462900</t>
  </si>
  <si>
    <t>Anillo 1500-8/6-1/4G</t>
  </si>
  <si>
    <t>QE08462910</t>
  </si>
  <si>
    <t>M09 Anillo 1500-6/4x1/4G</t>
  </si>
  <si>
    <t>QE08463010</t>
  </si>
  <si>
    <t>Racord R-M 1020-6/7-1/8G</t>
  </si>
  <si>
    <t>QE08478900</t>
  </si>
  <si>
    <t>Conductor calor Temp</t>
  </si>
  <si>
    <t>QE08479900</t>
  </si>
  <si>
    <t>Inser.Tuer.Rotul.NYL</t>
  </si>
  <si>
    <t>QE08488910</t>
  </si>
  <si>
    <t>Tuerca racord 8/6</t>
  </si>
  <si>
    <t>QE08489000</t>
  </si>
  <si>
    <t>C. Racord Pesca</t>
  </si>
  <si>
    <t>QE08489500</t>
  </si>
  <si>
    <t>Conjunto inyector</t>
  </si>
  <si>
    <t>QE08504400</t>
  </si>
  <si>
    <t>04G Tornillo giratorio 1-1/8 + 2 tóricas</t>
  </si>
  <si>
    <t>QE08504410</t>
  </si>
  <si>
    <t>T.Gira. 2-1/8 + 4 tóricas</t>
  </si>
  <si>
    <t>QE08527900</t>
  </si>
  <si>
    <t>Pomo grifo "Ruby" modulo vapor</t>
  </si>
  <si>
    <t>QE08528000</t>
  </si>
  <si>
    <t>Casquillo Pomo Grifo</t>
  </si>
  <si>
    <t>QE08531400</t>
  </si>
  <si>
    <t>Sobrebandeja pequeña</t>
  </si>
  <si>
    <t>QE08531400/2</t>
  </si>
  <si>
    <t>QE08531800</t>
  </si>
  <si>
    <t>Tapa inferior chasis</t>
  </si>
  <si>
    <t>QE08532300</t>
  </si>
  <si>
    <t>Sonda 82</t>
  </si>
  <si>
    <t>QE08533800</t>
  </si>
  <si>
    <t>Bomba Ulka EX4 230/50 IMQ (08533820)</t>
  </si>
  <si>
    <t>QE08534400</t>
  </si>
  <si>
    <t>Depósito agua 3L</t>
  </si>
  <si>
    <t>QE08534510</t>
  </si>
  <si>
    <t>Soporte depósito de agua</t>
  </si>
  <si>
    <t>QE08534600</t>
  </si>
  <si>
    <t>Muelle depósito agua</t>
  </si>
  <si>
    <t>QE08534800</t>
  </si>
  <si>
    <t>Manómetro 2,5 BAR Semi-P</t>
  </si>
  <si>
    <t>QE08537900</t>
  </si>
  <si>
    <t>Tubo presostato modulo autonomo</t>
  </si>
  <si>
    <t>QE08538000</t>
  </si>
  <si>
    <t>Tubo presostato modulo a red</t>
  </si>
  <si>
    <t>QE08538200</t>
  </si>
  <si>
    <t>Reductor Salida agua caldera</t>
  </si>
  <si>
    <t>QE08539600</t>
  </si>
  <si>
    <t>Caldera 1,5 Girogi-90017850</t>
  </si>
  <si>
    <t>QE08539800</t>
  </si>
  <si>
    <t>M18 Testigo bandeja</t>
  </si>
  <si>
    <t>QE08541800</t>
  </si>
  <si>
    <t>Asa depósito de agua</t>
  </si>
  <si>
    <t>QE08541900</t>
  </si>
  <si>
    <t>Bisagra depósito agua</t>
  </si>
  <si>
    <t>QE08542100</t>
  </si>
  <si>
    <t>Terminal Tubo bomba</t>
  </si>
  <si>
    <t>QE08553300</t>
  </si>
  <si>
    <t>Panel Dispensador Vap/Agua</t>
  </si>
  <si>
    <t>QE08553510/2</t>
  </si>
  <si>
    <t>Bandeja calientatazas dispensador a red</t>
  </si>
  <si>
    <t>QE08554000</t>
  </si>
  <si>
    <t>Caldera decapada</t>
  </si>
  <si>
    <t>QE08554200</t>
  </si>
  <si>
    <t>C. Inyector entrada agua</t>
  </si>
  <si>
    <t>QE08554500</t>
  </si>
  <si>
    <t>Rácord entrada</t>
  </si>
  <si>
    <t>QE08554800</t>
  </si>
  <si>
    <t>C. Grifo agua dispensador</t>
  </si>
  <si>
    <t>QE08555000</t>
  </si>
  <si>
    <t>Tuerca M12x1</t>
  </si>
  <si>
    <t>QE08555500</t>
  </si>
  <si>
    <t>Separador grifo disp.</t>
  </si>
  <si>
    <t>QE08555600</t>
  </si>
  <si>
    <t>Placa electrónica modulo vapor a red</t>
  </si>
  <si>
    <t>QE08556700</t>
  </si>
  <si>
    <t>Cuerpo grifo</t>
  </si>
  <si>
    <t>QE08559900</t>
  </si>
  <si>
    <t>Codo Ulka 8.01.033</t>
  </si>
  <si>
    <t>QE08571200</t>
  </si>
  <si>
    <t>Plancha inferior depósito agua</t>
  </si>
  <si>
    <t>QE08586800</t>
  </si>
  <si>
    <t>Cable red 110-230V</t>
  </si>
  <si>
    <t>QE08587600</t>
  </si>
  <si>
    <t>Cable General dispensador Vapor/Agua</t>
  </si>
  <si>
    <t>QE08612200</t>
  </si>
  <si>
    <t>Tubo agua caliente</t>
  </si>
  <si>
    <t>QE08612500</t>
  </si>
  <si>
    <t>Conjunto tubo de pesca dispensador</t>
  </si>
  <si>
    <t>QE08612600</t>
  </si>
  <si>
    <t>Resistencia 2500W/230V módulo autónomo</t>
  </si>
  <si>
    <t>QE08642000</t>
  </si>
  <si>
    <t>Bandeja calientatazas dispensador autónomo (08612700)</t>
  </si>
  <si>
    <t>QE08656600</t>
  </si>
  <si>
    <t>Placa electrónica dispensador autónomo</t>
  </si>
  <si>
    <t>QE08656900</t>
  </si>
  <si>
    <t>Cable general dispensador autónomo</t>
  </si>
  <si>
    <t>QE08659400</t>
  </si>
  <si>
    <t>Tapa depósito con cierre</t>
  </si>
  <si>
    <t>QE08659500</t>
  </si>
  <si>
    <t>Pestillo tapa depósito</t>
  </si>
  <si>
    <t>QE08659600</t>
  </si>
  <si>
    <t>Mando pestillo tapa depósito</t>
  </si>
  <si>
    <t>QE08659700</t>
  </si>
  <si>
    <t>C.Grifo vapor dispensador</t>
  </si>
  <si>
    <t>QE08758400</t>
  </si>
  <si>
    <t>Interruptor Modulo Vapor QE (09421710)</t>
  </si>
  <si>
    <t>QE08807520</t>
  </si>
  <si>
    <t>Cj. válvula seg. y proteccion 1.8 Bar sin racor (red) (08560810)</t>
  </si>
  <si>
    <t>QE08807530</t>
  </si>
  <si>
    <t>Cj. Válvula seg. y proteccion 1.8 Bar con racor (autónomo) (08560830)</t>
  </si>
  <si>
    <t>QE08836400</t>
  </si>
  <si>
    <t>Led Bicolor 230V</t>
  </si>
  <si>
    <t>QE08836410</t>
  </si>
  <si>
    <t>Led Bicolor 115V</t>
  </si>
  <si>
    <t>QE08848710</t>
  </si>
  <si>
    <t>Bandeja residuos (08531010)</t>
  </si>
  <si>
    <t>QE08896100</t>
  </si>
  <si>
    <t>Cj. Bandeja Desagüe</t>
  </si>
  <si>
    <t>QE09000325</t>
  </si>
  <si>
    <t>Salida + 09415200</t>
  </si>
  <si>
    <t>QE09000953</t>
  </si>
  <si>
    <t>Válvula antidepresio</t>
  </si>
  <si>
    <t>QE09104900</t>
  </si>
  <si>
    <t>Micro depósito Ruby</t>
  </si>
  <si>
    <t>QE09413010</t>
  </si>
  <si>
    <t>Termostato KB340-150-05</t>
  </si>
  <si>
    <t>QE09415200</t>
  </si>
  <si>
    <t>Cuerpo Salida agua M10</t>
  </si>
  <si>
    <t>QE09418500</t>
  </si>
  <si>
    <t>Resistencia 220/2500W módulo a red</t>
  </si>
  <si>
    <t>QE11156530</t>
  </si>
  <si>
    <t>QE11181302</t>
  </si>
  <si>
    <t>Taco eje grifo</t>
  </si>
  <si>
    <t>QE2523/040300</t>
  </si>
  <si>
    <t>Conjunto cierre sin grifo</t>
  </si>
  <si>
    <t>QE298472</t>
  </si>
  <si>
    <t>Válvula antidepresio inox</t>
  </si>
  <si>
    <t>QE67613607040</t>
  </si>
  <si>
    <t>Tubo teflón 7x4</t>
  </si>
  <si>
    <t>QE67615606040</t>
  </si>
  <si>
    <t>Tubo teflón 6x4</t>
  </si>
  <si>
    <t>QE67615608060</t>
  </si>
  <si>
    <t>Tubo teflón 8x6</t>
  </si>
  <si>
    <t>RSI (DESENGRASANTE)</t>
  </si>
  <si>
    <t>Desengrasante calderas QE (250 ml)</t>
  </si>
  <si>
    <t>SPAC002</t>
  </si>
  <si>
    <t>Set Rubber Parts + Plastic Cap (top of cabinet) - Set of 20pcs</t>
  </si>
  <si>
    <t>SPAC006</t>
  </si>
  <si>
    <t>Capsule Bin (22L) - Set of 10pcs</t>
  </si>
  <si>
    <t>SPAC007</t>
  </si>
  <si>
    <t>Waste Water Tank (10L) - Set of 5 pcs</t>
  </si>
  <si>
    <t>SPAC008</t>
  </si>
  <si>
    <t>Sensor (excl. cable) - Set of 10 pcs</t>
  </si>
  <si>
    <t>SPAC009</t>
  </si>
  <si>
    <t>Sensor Cable - Set of 10 pcs</t>
  </si>
  <si>
    <t>SPAC011</t>
  </si>
  <si>
    <t>Embudo con sello de goma</t>
  </si>
  <si>
    <t>THP100309</t>
  </si>
  <si>
    <t>Bloque drenaje Halcón</t>
  </si>
  <si>
    <t>THP100327</t>
  </si>
  <si>
    <t>Tubo desagüe Momento</t>
  </si>
  <si>
    <t>THP101383</t>
  </si>
  <si>
    <t>Seal 1/8"</t>
  </si>
  <si>
    <t>THP101499</t>
  </si>
  <si>
    <t>Racord unión caldera 1/8" (N/C)</t>
  </si>
  <si>
    <t>THP101984</t>
  </si>
  <si>
    <t>Filtro para el volumétrico 1/4"</t>
  </si>
  <si>
    <t>THP101992</t>
  </si>
  <si>
    <t>Malla para agua ø8.5mm</t>
  </si>
  <si>
    <t>THP102622</t>
  </si>
  <si>
    <t>Rundbuffer ø30x17/M8x20</t>
  </si>
  <si>
    <t>THP102744</t>
  </si>
  <si>
    <t>Micro principal</t>
  </si>
  <si>
    <t>THP103236</t>
  </si>
  <si>
    <t>Brida sujeción Protección Caldera</t>
  </si>
  <si>
    <t>THP104117</t>
  </si>
  <si>
    <t>Regulador de aire rojo 0.0 mm</t>
  </si>
  <si>
    <t>THP104151</t>
  </si>
  <si>
    <t>Iman de piston pastilla limpieza</t>
  </si>
  <si>
    <t>THP104745</t>
  </si>
  <si>
    <t>Conj. NTC Sensor Caldera Café</t>
  </si>
  <si>
    <t>THP104779</t>
  </si>
  <si>
    <t>Anillo tórico 3.69x1.78 EPDM</t>
  </si>
  <si>
    <t>THP104788</t>
  </si>
  <si>
    <t>Junta tórica 5.28x1.78</t>
  </si>
  <si>
    <t>THP104792</t>
  </si>
  <si>
    <t>Anillo tórico ø5x1.5</t>
  </si>
  <si>
    <t>THP104817</t>
  </si>
  <si>
    <t>Anillo tórico ø9x2</t>
  </si>
  <si>
    <t>THP104819</t>
  </si>
  <si>
    <t>Anillo tórico ø10.82x1.78</t>
  </si>
  <si>
    <t>THP104834</t>
  </si>
  <si>
    <t>Anillo tórico ø12x2</t>
  </si>
  <si>
    <t>THP104837</t>
  </si>
  <si>
    <t>Anillo tórico ø14x1.78</t>
  </si>
  <si>
    <t>THP105051</t>
  </si>
  <si>
    <t>Tornillo Phillips KA30x8</t>
  </si>
  <si>
    <t>THP105059</t>
  </si>
  <si>
    <t>Tornillo Phillips cabeza oval PT KA40x12</t>
  </si>
  <si>
    <t>THP105205</t>
  </si>
  <si>
    <t>Relé 4+1 25A</t>
  </si>
  <si>
    <t>THP106056</t>
  </si>
  <si>
    <t>Cortador tubos</t>
  </si>
  <si>
    <t>THP106070</t>
  </si>
  <si>
    <t>Llave puerta nevera Aguila/Halcón</t>
  </si>
  <si>
    <t>THP106370</t>
  </si>
  <si>
    <t>Tornillo avellanado M3x6</t>
  </si>
  <si>
    <t>THP106492</t>
  </si>
  <si>
    <t>Fusible 5x20/6.3A</t>
  </si>
  <si>
    <t>THP107286</t>
  </si>
  <si>
    <t>Klixon Segur. 125 gr.C Hm</t>
  </si>
  <si>
    <t>THP108363</t>
  </si>
  <si>
    <t>Tornillo Phillips cabeza plana H M4x8</t>
  </si>
  <si>
    <t>THP108555</t>
  </si>
  <si>
    <t>Tapon bandeja de goteo</t>
  </si>
  <si>
    <t>THP108793</t>
  </si>
  <si>
    <t>Diafragma</t>
  </si>
  <si>
    <t>THP110162</t>
  </si>
  <si>
    <t>Tornillo caldera té</t>
  </si>
  <si>
    <t>THP111895</t>
  </si>
  <si>
    <t>Apoyo duckbill</t>
  </si>
  <si>
    <t>THP112413</t>
  </si>
  <si>
    <t>Arandela de seguridad ø5 para el eje</t>
  </si>
  <si>
    <t>THP114223</t>
  </si>
  <si>
    <t>Ventilador nevera 230V/50Hz</t>
  </si>
  <si>
    <t>THP115398</t>
  </si>
  <si>
    <t>Conector T 4-4</t>
  </si>
  <si>
    <t>THP115834</t>
  </si>
  <si>
    <t>Pie águila 12 cm</t>
  </si>
  <si>
    <t>THP115836</t>
  </si>
  <si>
    <t>Reed switch with screws</t>
  </si>
  <si>
    <t>THP115953</t>
  </si>
  <si>
    <t>Filtro de agua del volumétrico</t>
  </si>
  <si>
    <t>THP116253</t>
  </si>
  <si>
    <t>Imán del cajón de capsulas</t>
  </si>
  <si>
    <t>THP116819</t>
  </si>
  <si>
    <t>Bobina calefactora leche</t>
  </si>
  <si>
    <t>THP117072</t>
  </si>
  <si>
    <t>Memoria flash</t>
  </si>
  <si>
    <t>THP117112</t>
  </si>
  <si>
    <t>Sensor NTC caldera te</t>
  </si>
  <si>
    <t>THP117304</t>
  </si>
  <si>
    <t>Anillo tórico 10.00x1.00 EPDM 281</t>
  </si>
  <si>
    <t>THP117469</t>
  </si>
  <si>
    <t>Electroválvula Diafragma</t>
  </si>
  <si>
    <t>THP117662</t>
  </si>
  <si>
    <t>Air mini-valve</t>
  </si>
  <si>
    <t>THP117704</t>
  </si>
  <si>
    <t>Ventilador refrigerador BW2/BW3</t>
  </si>
  <si>
    <t>THP118145</t>
  </si>
  <si>
    <t>Conexión rapida 90º entrada de agua módulo</t>
  </si>
  <si>
    <t>THP118151</t>
  </si>
  <si>
    <t>Fusible T4A H250V 5x20mm</t>
  </si>
  <si>
    <t>THP118522</t>
  </si>
  <si>
    <t>Base bloque modulo de leche BW2/BW3</t>
  </si>
  <si>
    <t>THP118594</t>
  </si>
  <si>
    <t>Suction hull with filter long</t>
  </si>
  <si>
    <t>THP118634</t>
  </si>
  <si>
    <t>Tope negro de goma</t>
  </si>
  <si>
    <t>THP118900</t>
  </si>
  <si>
    <t>Rejilla Bandeja de goteo Águila</t>
  </si>
  <si>
    <t>THP118948</t>
  </si>
  <si>
    <t>Grounds drawer</t>
  </si>
  <si>
    <t>THP118950</t>
  </si>
  <si>
    <t>Coffee grounds drawer complete (Solo abuso)</t>
  </si>
  <si>
    <t>THP118958</t>
  </si>
  <si>
    <t>Facing panel bottom Refrigerator</t>
  </si>
  <si>
    <t>THP118965</t>
  </si>
  <si>
    <t>Placa frontal</t>
  </si>
  <si>
    <t>THP118965/2</t>
  </si>
  <si>
    <t>THP119033</t>
  </si>
  <si>
    <t>Bomba leche</t>
  </si>
  <si>
    <t>THP119038</t>
  </si>
  <si>
    <t>Displayprint EADI (Solo abuso)</t>
  </si>
  <si>
    <t>THP119061</t>
  </si>
  <si>
    <t>Fijación izquierda soporte tazas.</t>
  </si>
  <si>
    <t>THP119062</t>
  </si>
  <si>
    <t>Fijación derecha soporte tazas.</t>
  </si>
  <si>
    <t>THP119063</t>
  </si>
  <si>
    <t>Placa electrónica lógica EACB</t>
  </si>
  <si>
    <t>THP119064</t>
  </si>
  <si>
    <t>Placa potencia EAPB</t>
  </si>
  <si>
    <t>THP119119</t>
  </si>
  <si>
    <t>Botonera café (Solo abuso)</t>
  </si>
  <si>
    <t>THP119143</t>
  </si>
  <si>
    <t>Junta tórica o 88x4</t>
  </si>
  <si>
    <t>THP119181</t>
  </si>
  <si>
    <t>Pin recto ø6x60</t>
  </si>
  <si>
    <t>THP119201</t>
  </si>
  <si>
    <t>Salida café</t>
  </si>
  <si>
    <t>THP119228</t>
  </si>
  <si>
    <t>Bandeja de goteo Águila</t>
  </si>
  <si>
    <t>THP119251</t>
  </si>
  <si>
    <t>Tubo FEP ø8/6 x 450mm</t>
  </si>
  <si>
    <t>THP119284</t>
  </si>
  <si>
    <t>Tubería drenaje ensamblado</t>
  </si>
  <si>
    <t>THP119407</t>
  </si>
  <si>
    <t>Válvula retención leche</t>
  </si>
  <si>
    <t>THP119414</t>
  </si>
  <si>
    <t>Anillo tórico ø2.90x1.78</t>
  </si>
  <si>
    <t>THP119415</t>
  </si>
  <si>
    <t>Anillo tórico ø8.00x1.50</t>
  </si>
  <si>
    <t>THP119440</t>
  </si>
  <si>
    <t>Teclado café completo.</t>
  </si>
  <si>
    <t>THP119441</t>
  </si>
  <si>
    <t>Doublehead, assy.</t>
  </si>
  <si>
    <t>THP119444</t>
  </si>
  <si>
    <t>Display + Teclado AG420</t>
  </si>
  <si>
    <t>THP119562</t>
  </si>
  <si>
    <t>Puerta Refrigerador AG</t>
  </si>
  <si>
    <t>THP119569</t>
  </si>
  <si>
    <t>Facing panel le+ri set Refrigerator</t>
  </si>
  <si>
    <t>THP119574</t>
  </si>
  <si>
    <t>Válvula antiretorno cleaning block</t>
  </si>
  <si>
    <t>THP119596</t>
  </si>
  <si>
    <t>Set salida leche-té</t>
  </si>
  <si>
    <t>THP119597</t>
  </si>
  <si>
    <t>Set soporte tazas.</t>
  </si>
  <si>
    <t>THP119599</t>
  </si>
  <si>
    <t>Doublehead set</t>
  </si>
  <si>
    <t>THP119600</t>
  </si>
  <si>
    <t>Front panel to set container set Aguila</t>
  </si>
  <si>
    <t>THP119646</t>
  </si>
  <si>
    <t>FEP pipe ø6/4 x 300mm</t>
  </si>
  <si>
    <t>THP119671</t>
  </si>
  <si>
    <t>FEP pipe ø6/4 x 1090mm</t>
  </si>
  <si>
    <t>THP119779</t>
  </si>
  <si>
    <t>Racor serpentin</t>
  </si>
  <si>
    <t>THP119983</t>
  </si>
  <si>
    <t>Facing panel top set Refrigerator</t>
  </si>
  <si>
    <t>THP120002</t>
  </si>
  <si>
    <t>Key switch with cable</t>
  </si>
  <si>
    <t>THP120005</t>
  </si>
  <si>
    <t>Cable display Águila.</t>
  </si>
  <si>
    <t>THP120006</t>
  </si>
  <si>
    <t>Cable corto 26p. Águila.</t>
  </si>
  <si>
    <t>THP120009</t>
  </si>
  <si>
    <t>Conj. Contenedor leche 5L (N/C)</t>
  </si>
  <si>
    <t>THP120079</t>
  </si>
  <si>
    <t>Fuente alimentación 230V/240V 250 (126122)</t>
  </si>
  <si>
    <t>THP120096</t>
  </si>
  <si>
    <t>Aislamiento caldera café izquierda.</t>
  </si>
  <si>
    <t>THP120136</t>
  </si>
  <si>
    <t>Set bomba leche AG420</t>
  </si>
  <si>
    <t>THP120179</t>
  </si>
  <si>
    <t>Marco frontal set cubeta de goteo</t>
  </si>
  <si>
    <t>THP120202</t>
  </si>
  <si>
    <t>Set interruptor encendido</t>
  </si>
  <si>
    <t>THP120257</t>
  </si>
  <si>
    <t>Anillo tórico ø29.00x2.00</t>
  </si>
  <si>
    <t>THP120337</t>
  </si>
  <si>
    <t>Válvula solenoide 3/2 mini ensamblado</t>
  </si>
  <si>
    <t>THP120358</t>
  </si>
  <si>
    <t>Válvula retención 16,5bar Halcón</t>
  </si>
  <si>
    <t>THP120360</t>
  </si>
  <si>
    <t>Tornillo cabeza ovalada M4x35</t>
  </si>
  <si>
    <t>THP120361</t>
  </si>
  <si>
    <t>Tornillo cabeza ovalada M4x6</t>
  </si>
  <si>
    <t>THP120369</t>
  </si>
  <si>
    <t>Rejilla soporte tazas ensamblada.</t>
  </si>
  <si>
    <t>THP120382</t>
  </si>
  <si>
    <t>kit desatascador 2/2 (2 x 120574) Halcón</t>
  </si>
  <si>
    <t>THP120384</t>
  </si>
  <si>
    <t>Mains filter with chocke 3Ph 16A 400V</t>
  </si>
  <si>
    <t>THP120385</t>
  </si>
  <si>
    <t>Tubo presión leche módulo izquierdo</t>
  </si>
  <si>
    <t>THP120388</t>
  </si>
  <si>
    <t>Abrazadera caldera té-leche</t>
  </si>
  <si>
    <t>THP120393</t>
  </si>
  <si>
    <t>Cups holding clamp RF set</t>
  </si>
  <si>
    <t>THP120402</t>
  </si>
  <si>
    <t>Abrazadera caldera café.</t>
  </si>
  <si>
    <t>THP120413</t>
  </si>
  <si>
    <t>Llave programación</t>
  </si>
  <si>
    <t>THP120418</t>
  </si>
  <si>
    <t>Set tubos leche</t>
  </si>
  <si>
    <t>THP120442</t>
  </si>
  <si>
    <t>Tubo FEP ø4/2 x 1000mm</t>
  </si>
  <si>
    <t>THP120448</t>
  </si>
  <si>
    <t>Tubo FEP ø4/2 x 440mm (Solo abuso)</t>
  </si>
  <si>
    <t>THP120449</t>
  </si>
  <si>
    <t>Placa electrónica control EACB</t>
  </si>
  <si>
    <t>THP120451</t>
  </si>
  <si>
    <t>Ball bearing 61902 (Solo abuso)</t>
  </si>
  <si>
    <t>THP120475</t>
  </si>
  <si>
    <t>Cable corriente 230V C19 Korea</t>
  </si>
  <si>
    <t>THP120487</t>
  </si>
  <si>
    <t>Tubo drenaje 0,4m Halcón</t>
  </si>
  <si>
    <t>THP120488</t>
  </si>
  <si>
    <t>Juego tubos desague  440/420AG</t>
  </si>
  <si>
    <t>THP120535/2</t>
  </si>
  <si>
    <t>Kit Águila PM Basic 4</t>
  </si>
  <si>
    <t>THP120555</t>
  </si>
  <si>
    <t>Kit desatascador 3/2</t>
  </si>
  <si>
    <t>THP120564</t>
  </si>
  <si>
    <t>Kit desatascador 2/2</t>
  </si>
  <si>
    <t>THP120570</t>
  </si>
  <si>
    <t>Antirretorno del conjunto de limpieza (Nevera)</t>
  </si>
  <si>
    <t>THP120578</t>
  </si>
  <si>
    <t>Tubo teflón ø10/7 x 5000mm</t>
  </si>
  <si>
    <t>THP120579</t>
  </si>
  <si>
    <t>Tubo teflón ø13/7 x 1000mm</t>
  </si>
  <si>
    <t>THP120580</t>
  </si>
  <si>
    <t>Tubo teflón ø8.5/4  x 1000mm</t>
  </si>
  <si>
    <t>THP120584</t>
  </si>
  <si>
    <t>Tubo teflón ø8/6 x 2000mm</t>
  </si>
  <si>
    <t>THP120592</t>
  </si>
  <si>
    <t>Y-Fitting expiration</t>
  </si>
  <si>
    <t>THP120651</t>
  </si>
  <si>
    <t>Manguera silicona ø13/7 x 2000mm</t>
  </si>
  <si>
    <t>THP120694</t>
  </si>
  <si>
    <t>Conector recto 4-1/8</t>
  </si>
  <si>
    <t>THP120696</t>
  </si>
  <si>
    <t>Conector T 6-6</t>
  </si>
  <si>
    <t>THP120698</t>
  </si>
  <si>
    <t>Codo 4-1/8</t>
  </si>
  <si>
    <t>THP120930</t>
  </si>
  <si>
    <t>Conj. llave limpieza</t>
  </si>
  <si>
    <t>THP121171</t>
  </si>
  <si>
    <t>Placa potencia EAPB ensamblada.</t>
  </si>
  <si>
    <t>THP121179</t>
  </si>
  <si>
    <t>Regulador de aire azul 0.0mm</t>
  </si>
  <si>
    <t>THP121209</t>
  </si>
  <si>
    <t>Lateral izquierdo AG420</t>
  </si>
  <si>
    <t>THP121210</t>
  </si>
  <si>
    <t>Lateral derecho AG420</t>
  </si>
  <si>
    <t>THP121313</t>
  </si>
  <si>
    <t>Tarjeta de memoria con caja</t>
  </si>
  <si>
    <t>THP121409</t>
  </si>
  <si>
    <t>Boquilla bomba leche (120301)</t>
  </si>
  <si>
    <t>THP121510</t>
  </si>
  <si>
    <t>Tapa superior caja kit succión leche</t>
  </si>
  <si>
    <t>THP121511</t>
  </si>
  <si>
    <t>Tapa inferior caja kit succión leche</t>
  </si>
  <si>
    <t>THP121536</t>
  </si>
  <si>
    <t>Reed switch for cleaniing block milkway</t>
  </si>
  <si>
    <t>THP121574</t>
  </si>
  <si>
    <t>Sujeción fusible 4A</t>
  </si>
  <si>
    <t>THP121736</t>
  </si>
  <si>
    <t>Bandeja calienta-tazas SIN Neslink (119082)</t>
  </si>
  <si>
    <t>THP121907</t>
  </si>
  <si>
    <t>Sistema limpieza leche (120931)</t>
  </si>
  <si>
    <t>THP121988</t>
  </si>
  <si>
    <t>Guía para cable set RF-Box</t>
  </si>
  <si>
    <t>THP122373</t>
  </si>
  <si>
    <t>Junta bobina calefactora</t>
  </si>
  <si>
    <t>THP122785</t>
  </si>
  <si>
    <t>Tubo succión leche nivel 2 ensamblado V3</t>
  </si>
  <si>
    <t>THP122832</t>
  </si>
  <si>
    <t>Detector de nivel</t>
  </si>
  <si>
    <t>THP123421</t>
  </si>
  <si>
    <t>Bandeja de goteo Halcón (sin rejilla)</t>
  </si>
  <si>
    <t>THP123422</t>
  </si>
  <si>
    <t>Rejilla bandeja de goteo Halcón</t>
  </si>
  <si>
    <t>THP123423</t>
  </si>
  <si>
    <t>Bandeja residuos completa Halcón</t>
  </si>
  <si>
    <t>THP123427</t>
  </si>
  <si>
    <t>Embellecedor bandeja residuios Halcón (THP123425)</t>
  </si>
  <si>
    <t>THP123430</t>
  </si>
  <si>
    <t>Lateral derecho Halcón</t>
  </si>
  <si>
    <t>THP123447</t>
  </si>
  <si>
    <t>Bandeja calienta-tazas completa Halcón</t>
  </si>
  <si>
    <t>THP123527</t>
  </si>
  <si>
    <t>Boquilla limitadora caudal</t>
  </si>
  <si>
    <t>THP123560</t>
  </si>
  <si>
    <t>Arandela soporte</t>
  </si>
  <si>
    <t>THP123562</t>
  </si>
  <si>
    <t>Muelle electroválvula</t>
  </si>
  <si>
    <t>THP124130</t>
  </si>
  <si>
    <t>Recto volumétrico 4-1/4</t>
  </si>
  <si>
    <t>THP124160</t>
  </si>
  <si>
    <t>Herramienta para quitar salida de café.</t>
  </si>
  <si>
    <t>THP124288</t>
  </si>
  <si>
    <t>Sticker limpieza diaria nevera</t>
  </si>
  <si>
    <t>THP124327</t>
  </si>
  <si>
    <t>Embellecedor superior nevera Halcón</t>
  </si>
  <si>
    <t>THP124345</t>
  </si>
  <si>
    <t>Lateral izquierdo Halcón</t>
  </si>
  <si>
    <t>THP124629</t>
  </si>
  <si>
    <t>Set sistema de limpieza Halcón</t>
  </si>
  <si>
    <t>THP124675</t>
  </si>
  <si>
    <t>Caldera café izquierda completa Halcón</t>
  </si>
  <si>
    <t>THP124799</t>
  </si>
  <si>
    <t>Set tubos té Halcón</t>
  </si>
  <si>
    <t>THP124900</t>
  </si>
  <si>
    <t>Bomba de agua completa Halcón (Bomba+motor)</t>
  </si>
  <si>
    <t>THP125024</t>
  </si>
  <si>
    <t>Placa electrónica control HACB Halcón</t>
  </si>
  <si>
    <t>THP125025</t>
  </si>
  <si>
    <t>Placa electrónica potencia HAPB Halcón</t>
  </si>
  <si>
    <t>THP125227</t>
  </si>
  <si>
    <t>Válvula solenoide 3/2, set pequeño Halcón (120574)</t>
  </si>
  <si>
    <t>THP125240</t>
  </si>
  <si>
    <t>Válvula solenoide 3/2 SET. Halcón (125239)</t>
  </si>
  <si>
    <t>THP125260</t>
  </si>
  <si>
    <t>Caldera derecha café completa Halcón</t>
  </si>
  <si>
    <t>THP125261</t>
  </si>
  <si>
    <t>Set interior caldera té/leche (bobina, sonda, etc) H</t>
  </si>
  <si>
    <t>THP125262</t>
  </si>
  <si>
    <t>Exterior caldera leche/té Halcón (N/C)</t>
  </si>
  <si>
    <t>THP125265</t>
  </si>
  <si>
    <t>Caldera completa té/leche 230 V Halcón</t>
  </si>
  <si>
    <t>THP125297</t>
  </si>
  <si>
    <t>Volumétrico completo ensamblado Halcón (119385)</t>
  </si>
  <si>
    <t>THP125299</t>
  </si>
  <si>
    <t>Válvula diafragma 2/2 ensamblado Halcón</t>
  </si>
  <si>
    <t>THP125335</t>
  </si>
  <si>
    <t>Conector NTC RF Halcón</t>
  </si>
  <si>
    <t>THP125399</t>
  </si>
  <si>
    <t>Set drenaje Halcón AG220</t>
  </si>
  <si>
    <t>THP125432</t>
  </si>
  <si>
    <t>Tubo FEP ø4/2 x 1460 mm</t>
  </si>
  <si>
    <t>THP125504</t>
  </si>
  <si>
    <t>Grupo de café derecho Halcón</t>
  </si>
  <si>
    <t>THP125505</t>
  </si>
  <si>
    <t>Grupo de café izquierdo Halcón</t>
  </si>
  <si>
    <t>THP125506</t>
  </si>
  <si>
    <t>Alojamiento grupo derecho AG220</t>
  </si>
  <si>
    <t>THP125507</t>
  </si>
  <si>
    <t>Alojamiento grupo izquierdo AG220</t>
  </si>
  <si>
    <t>THP125514</t>
  </si>
  <si>
    <t>Set completo rejillas Halcón</t>
  </si>
  <si>
    <t>THP125647</t>
  </si>
  <si>
    <t>Set levas</t>
  </si>
  <si>
    <t>THP125798</t>
  </si>
  <si>
    <t>Soporte duckbill Halcón</t>
  </si>
  <si>
    <t>THP125808</t>
  </si>
  <si>
    <t>Bomba de leche completa Halcón</t>
  </si>
  <si>
    <t>THP125813</t>
  </si>
  <si>
    <t>Módulo teclado té/leche Halcón</t>
  </si>
  <si>
    <t>THP125827</t>
  </si>
  <si>
    <t>Conector interruptor llave Halcón</t>
  </si>
  <si>
    <t>THP125867</t>
  </si>
  <si>
    <t>Codo 8-3/8</t>
  </si>
  <si>
    <t>THP125873</t>
  </si>
  <si>
    <t>Tapon de drenaje 1/8</t>
  </si>
  <si>
    <t>THP125921</t>
  </si>
  <si>
    <t>Válvula retención completa Halcón</t>
  </si>
  <si>
    <t>THP125929</t>
  </si>
  <si>
    <t>Válvula control presión 16,5 bar (119241)</t>
  </si>
  <si>
    <t>THP125951</t>
  </si>
  <si>
    <t>Grupo café derecho + alojamiento AG220</t>
  </si>
  <si>
    <t>THP125952</t>
  </si>
  <si>
    <t>Grupo café izquierdo + alojamiento AG220</t>
  </si>
  <si>
    <t>THP126015</t>
  </si>
  <si>
    <t>Kit mantenimiento grupo de café Halcón</t>
  </si>
  <si>
    <t>THP126022</t>
  </si>
  <si>
    <t>Muelle grupo de café Halcón</t>
  </si>
  <si>
    <t>THP126112</t>
  </si>
  <si>
    <t>Pegatina regulación presión Halcón</t>
  </si>
  <si>
    <t>THP126156</t>
  </si>
  <si>
    <t>Set TRIAC Halcón</t>
  </si>
  <si>
    <t>THP126525</t>
  </si>
  <si>
    <t>Fijación izquierda rejilla Halcón</t>
  </si>
  <si>
    <t>THP126526</t>
  </si>
  <si>
    <t>Fijación derecha rejilla Halcón</t>
  </si>
  <si>
    <t>THP126539</t>
  </si>
  <si>
    <t>Cable toma de corriente C19</t>
  </si>
  <si>
    <t>THP126591</t>
  </si>
  <si>
    <t>Kit teclado + display AG220 / AG440</t>
  </si>
  <si>
    <t>THP126592</t>
  </si>
  <si>
    <t>Módulo teclado con display Halcón</t>
  </si>
  <si>
    <t>THP126593</t>
  </si>
  <si>
    <t>Motor bomba agua</t>
  </si>
  <si>
    <t>THP126616/2</t>
  </si>
  <si>
    <t>Kit mantenimiento 1er año Halcón</t>
  </si>
  <si>
    <t>THP126618</t>
  </si>
  <si>
    <t>THP126667</t>
  </si>
  <si>
    <t>Sensor nivel temperatura leche</t>
  </si>
  <si>
    <t>THP126853</t>
  </si>
  <si>
    <t>Manguera silicona ø7/10 x 2000mm</t>
  </si>
  <si>
    <t>THP126856</t>
  </si>
  <si>
    <t>Manguera silicona ø8.5/4 x 2000mm</t>
  </si>
  <si>
    <t>THP126959</t>
  </si>
  <si>
    <t>Conector recto 4-4 (I)</t>
  </si>
  <si>
    <t>THP126986</t>
  </si>
  <si>
    <t>Válvula proporcional 0,8mm 2/2 bomba leche</t>
  </si>
  <si>
    <t>THP127230</t>
  </si>
  <si>
    <t>Expiration fitting</t>
  </si>
  <si>
    <t>THP128065</t>
  </si>
  <si>
    <t>Tubo de agua reforzado 3/8x2.0mm (101575)</t>
  </si>
  <si>
    <t>THP128883</t>
  </si>
  <si>
    <t>Rejilla bandeja residuos AG440</t>
  </si>
  <si>
    <t>THP128991</t>
  </si>
  <si>
    <t>Placa electrónica potencia AG440</t>
  </si>
  <si>
    <t>THP128992</t>
  </si>
  <si>
    <t>Placa electrónica lógica AG440</t>
  </si>
  <si>
    <t>THP129009</t>
  </si>
  <si>
    <t>Kit bandeja residuos</t>
  </si>
  <si>
    <t>THP129153</t>
  </si>
  <si>
    <t>Conjunto sistema limpieza leche AG440</t>
  </si>
  <si>
    <t>THP129383</t>
  </si>
  <si>
    <t>Contenedor leche izquierdo / púrpura AG440</t>
  </si>
  <si>
    <t>THP129384</t>
  </si>
  <si>
    <t>Contenedor leche derecho / amarillo AG440</t>
  </si>
  <si>
    <t>THP129421</t>
  </si>
  <si>
    <t>Conjunto placa electrónica de control AG440</t>
  </si>
  <si>
    <t>THP129423</t>
  </si>
  <si>
    <t>Conjunto placa electrónica de potencia AG440</t>
  </si>
  <si>
    <t>THP129456</t>
  </si>
  <si>
    <t>A4AB placa de conexión AG440</t>
  </si>
  <si>
    <t>THP129492</t>
  </si>
  <si>
    <t>Boton pulsador rearme M10 x 1 AG440</t>
  </si>
  <si>
    <t>THP129776</t>
  </si>
  <si>
    <t>Marcador depósito púrpura</t>
  </si>
  <si>
    <t>THP129797</t>
  </si>
  <si>
    <t>Marcador depósito amarillo</t>
  </si>
  <si>
    <t>THP129863</t>
  </si>
  <si>
    <t>Puerta nevera Aguila/Halcon con llave</t>
  </si>
  <si>
    <t>THP129903</t>
  </si>
  <si>
    <t>Conjunto placa electrónica potencia inferior AG440</t>
  </si>
  <si>
    <t>THP130175</t>
  </si>
  <si>
    <t>Kit Águila 3 año</t>
  </si>
  <si>
    <t>THP130994</t>
  </si>
  <si>
    <t>T-fitting 6-K1/8 (106931)</t>
  </si>
  <si>
    <t>THP131232</t>
  </si>
  <si>
    <t>Valvula de retención Duckbill azul claro (104069)</t>
  </si>
  <si>
    <t>THP132067</t>
  </si>
  <si>
    <t>Pistón detección Pastillas de Limpieza</t>
  </si>
  <si>
    <t>THP132113</t>
  </si>
  <si>
    <t>Bloque de limpieza</t>
  </si>
  <si>
    <t>THP132250</t>
  </si>
  <si>
    <t>Bomba de agua AG440 (119295)</t>
  </si>
  <si>
    <t>THP132322</t>
  </si>
  <si>
    <t>Membrana ø28.5 regulador presión Inox AG</t>
  </si>
  <si>
    <t>THP132330</t>
  </si>
  <si>
    <t>Manómetro de presión inox 16 bar AG440</t>
  </si>
  <si>
    <t>THP132413</t>
  </si>
  <si>
    <t>Electroválvula 2/2 (120248)</t>
  </si>
  <si>
    <t>THP132426</t>
  </si>
  <si>
    <t>Electroválvula 3/2 (120250)</t>
  </si>
  <si>
    <t>THP132539</t>
  </si>
  <si>
    <t>Valvula entrada de agua AG440 (125894)</t>
  </si>
  <si>
    <t>THP133342</t>
  </si>
  <si>
    <t>Válvula antirretorno del volumétrico (125205)</t>
  </si>
  <si>
    <t>THP133716</t>
  </si>
  <si>
    <t>NTC 4.0 Sonda temperatura nevera (117246)</t>
  </si>
  <si>
    <t>THP134012</t>
  </si>
  <si>
    <t>Conexión T V.4 R1/8 (126063)</t>
  </si>
  <si>
    <t>THP134428</t>
  </si>
  <si>
    <t>Tubo succión leche derecho (amarillo) AG440 (129222)</t>
  </si>
  <si>
    <t>THP134430</t>
  </si>
  <si>
    <t>Tubo succión leche izquierdo (púrpura) AG440 (129322)</t>
  </si>
  <si>
    <t>THP134433</t>
  </si>
  <si>
    <t>Tubo succión leche ensamblado Halcón (125694)</t>
  </si>
  <si>
    <t>THP134741</t>
  </si>
  <si>
    <t>Kit Reparador Nevera Aguila</t>
  </si>
  <si>
    <t>THP141528</t>
  </si>
  <si>
    <t>Tubo FEP ø6/5x...m</t>
  </si>
  <si>
    <t>THP142478</t>
  </si>
  <si>
    <t>Panel trasero refrigerador Halcón (124632)</t>
  </si>
  <si>
    <t>THP142487</t>
  </si>
  <si>
    <t>Nevera completa Halcón</t>
  </si>
  <si>
    <t>THP149249</t>
  </si>
  <si>
    <t>Adaptador NCB113 para tarjeta flash AG440</t>
  </si>
  <si>
    <t>THP433903</t>
  </si>
  <si>
    <t>Filtro Águila Everpure</t>
  </si>
  <si>
    <t>WTH0876005021961</t>
  </si>
  <si>
    <t>Junta goma 3/8 (0876005021)</t>
  </si>
  <si>
    <t>WTH08761318</t>
  </si>
  <si>
    <t>Junta goma 1/2 D: 13-18mm</t>
  </si>
  <si>
    <t>WTH0969300401</t>
  </si>
  <si>
    <t>Clavija schuko de goma IP54 (0969300201061)</t>
  </si>
  <si>
    <t>WTH0969301221</t>
  </si>
  <si>
    <t>Base Shucko de goma</t>
  </si>
  <si>
    <t>WTH0969700516</t>
  </si>
  <si>
    <t>Shuko rojo 16A macho</t>
  </si>
  <si>
    <t>WTH0969700532</t>
  </si>
  <si>
    <t>Shuko rojo 32A macho</t>
  </si>
  <si>
    <t>WTH0969705516</t>
  </si>
  <si>
    <t>Shuko hembra rojo 16A</t>
  </si>
  <si>
    <t>WTH0969705532</t>
  </si>
  <si>
    <t>Shuko hembra rojo 32A</t>
  </si>
  <si>
    <t>WTH557700238</t>
  </si>
  <si>
    <t>Machón cónico latón niq. 3/8</t>
  </si>
  <si>
    <t>WTH5577003381005</t>
  </si>
  <si>
    <t>Machón cónico Reduc. lat. niq. 3/8-1/2 (E577002381)</t>
  </si>
  <si>
    <t>WTH5577005123</t>
  </si>
  <si>
    <t>Racor 1/2 Macho 3/8 Hembra</t>
  </si>
  <si>
    <t>WTH557700838</t>
  </si>
  <si>
    <t>Manguito hembra Lat. Niq 3/8</t>
  </si>
  <si>
    <t>WTH5577303838</t>
  </si>
  <si>
    <t>Válvula Bola Mini M-H 3/8</t>
  </si>
  <si>
    <t>WTH5966700900990</t>
  </si>
  <si>
    <t>Racor en T tuberia de aire 3/8 (E8850238)</t>
  </si>
  <si>
    <t>WTH5966700911990</t>
  </si>
  <si>
    <t>Flexo 1m H 3/4 - H 3/8 (E888121341)</t>
  </si>
  <si>
    <t>WTH5966700912990</t>
  </si>
  <si>
    <t>Flexo 2m H 3/4 - H 3/8 (E888121342)</t>
  </si>
  <si>
    <t>WTH5966700913990</t>
  </si>
  <si>
    <t>Flexo 0,5m H 3/8 - H 3/8 (E888121380)</t>
  </si>
  <si>
    <t>WTH5966700914990</t>
  </si>
  <si>
    <t>Flexo 1m H 3/8 - H 3/8 (E888121381)</t>
  </si>
  <si>
    <t>WTH5966700915990</t>
  </si>
  <si>
    <t>Flexo 2m H 3/8 - H 3/8 (E888121382)</t>
  </si>
  <si>
    <t>WTH5997603390</t>
  </si>
  <si>
    <t>Flexo 1 m H 1/2" x H 3/8"</t>
  </si>
  <si>
    <t>WTHE577005121</t>
  </si>
  <si>
    <t>Racor 1/2 Hembra 1/2 Macho</t>
  </si>
  <si>
    <t>WTHE577008381</t>
  </si>
  <si>
    <t>Manguito hembra 1/4-3/8</t>
  </si>
  <si>
    <t>WTHE57711138</t>
  </si>
  <si>
    <t>Racor tapón 3/8 Hembra</t>
  </si>
  <si>
    <t>WTHE57711238</t>
  </si>
  <si>
    <t>Racor Cruz 3/8 Hembra</t>
  </si>
  <si>
    <t>ZN9310235700</t>
  </si>
  <si>
    <t>Tapa lateral (tornillería incluida) (2)</t>
  </si>
  <si>
    <t>ZN9310235801</t>
  </si>
  <si>
    <t>Depósito de agua completo Zenius (2)</t>
  </si>
  <si>
    <t>ZN9310235900</t>
  </si>
  <si>
    <t>Contenedor de cápsulas Zenius (2)</t>
  </si>
  <si>
    <t>ZN9310236000</t>
  </si>
  <si>
    <t>Flotador bandeja de goteo Zenius (10)</t>
  </si>
  <si>
    <t>ZN9310236100</t>
  </si>
  <si>
    <t>Cubierta frontal salida café Zenius (2)</t>
  </si>
  <si>
    <t>ZN9310236201</t>
  </si>
  <si>
    <t>Rejilla inferior contenedor cápsulas (2)</t>
  </si>
  <si>
    <t>ZN9310236300</t>
  </si>
  <si>
    <t>Set NTC (tornillería N.I) Zenius (10)</t>
  </si>
  <si>
    <t>ZN9310236401</t>
  </si>
  <si>
    <t>Bomba 230V/50Hz Zenius (2) (9310236400)</t>
  </si>
  <si>
    <t>ZN9310236501</t>
  </si>
  <si>
    <t>Tapa trasera + sensor nivel (9310236500)</t>
  </si>
  <si>
    <t>ZN9310236603</t>
  </si>
  <si>
    <t>Set thermoblock (tornillería incl) (1) (9310236602)</t>
  </si>
  <si>
    <t>ZN9310236701</t>
  </si>
  <si>
    <t>Rejilla superior contenedor cápsulas (2) (9310236700)</t>
  </si>
  <si>
    <t>ZN9310236800</t>
  </si>
  <si>
    <t>Set válvula entrada agua Zenius (4)</t>
  </si>
  <si>
    <t>ZN9310236900</t>
  </si>
  <si>
    <t>Bandeja de goteo Zenius (2)</t>
  </si>
  <si>
    <t>ZN9310238500</t>
  </si>
  <si>
    <t>Set botonera (MMI) Zenius (2)</t>
  </si>
  <si>
    <t>ZN9310238604</t>
  </si>
  <si>
    <t>Placa electrónica sin tornillo (9310238603)</t>
  </si>
  <si>
    <t>ZN9310238700</t>
  </si>
  <si>
    <t>Asa de cierre torn. incl. Zen (2)</t>
  </si>
  <si>
    <t>ZN9310238800</t>
  </si>
  <si>
    <t>Led Salida café Zenius (4)</t>
  </si>
  <si>
    <t>ZN9310238901</t>
  </si>
  <si>
    <t>Set contador volumétrico Zenius (4) (9310238900)</t>
  </si>
  <si>
    <t>ZN9310239100</t>
  </si>
  <si>
    <t>Válvula de presión Zenius</t>
  </si>
  <si>
    <t>ZN9310239200</t>
  </si>
  <si>
    <t>Cable sensor nivel de agua Zenius (10)</t>
  </si>
  <si>
    <t>ZN9310239400</t>
  </si>
  <si>
    <t>Conector rápido Zenius (10)</t>
  </si>
  <si>
    <t>ZN9310239500</t>
  </si>
  <si>
    <t>Tubo silicona 155MM (EV Sup-SH2O)</t>
  </si>
  <si>
    <t>ZN9310239900</t>
  </si>
  <si>
    <t>Tubo teflón 58MM (Sal. ther-Conx Y) (10)</t>
  </si>
  <si>
    <t>ZN9310240000</t>
  </si>
  <si>
    <t>Tubo teflón 235MM (Bomba-Grupo) Zen (10)</t>
  </si>
  <si>
    <t>ZN9310240100</t>
  </si>
  <si>
    <t>Tubo teflón 230MM (Bomba-ElecV Inf) (10)</t>
  </si>
  <si>
    <t>ZN9310240300</t>
  </si>
  <si>
    <t>Tubo silicona  205MM (EV Inf-VEA) (10)</t>
  </si>
  <si>
    <t>ZN9310240403</t>
  </si>
  <si>
    <t>Grupo de café (tornillería incluida) (9310240402)</t>
  </si>
  <si>
    <t>ZN9310240500</t>
  </si>
  <si>
    <t>Abrazadera tubo silicona Zenius</t>
  </si>
  <si>
    <t>ZN9310240600</t>
  </si>
  <si>
    <t>Abrazadera tubo teflón Zenius</t>
  </si>
  <si>
    <t>ZN9310240900</t>
  </si>
  <si>
    <t>Tornillo 3,5 X 10 con arandela Zenius</t>
  </si>
  <si>
    <t>ZN9310241200</t>
  </si>
  <si>
    <t>Tornillo 3,0 X 15 con arandela Zenius</t>
  </si>
  <si>
    <t>ZN9310241400</t>
  </si>
  <si>
    <t>Tornillo 3,0 X 11 con arandela Zenius</t>
  </si>
  <si>
    <t>ZN9310244001</t>
  </si>
  <si>
    <t>Adaptador Manómetro presión con cápsula falsa (1) (9310244000)</t>
  </si>
  <si>
    <t>ZN9310252700</t>
  </si>
  <si>
    <t>Cable 1 (230V) (5)</t>
  </si>
  <si>
    <t>ZN9310252800</t>
  </si>
  <si>
    <t>Cable Thermo 1 (230V) (5)</t>
  </si>
  <si>
    <t>ZN9310253000</t>
  </si>
  <si>
    <t>Cable 12 (120V, 230V) (5)</t>
  </si>
  <si>
    <t>ZN9310283700</t>
  </si>
  <si>
    <t>Caperuza grupo café Zenius (2)</t>
  </si>
  <si>
    <t>ZN9310283800</t>
  </si>
  <si>
    <t>Conexión "Y"</t>
  </si>
  <si>
    <t>ZN9310283901</t>
  </si>
  <si>
    <t>Conexión "L" (9310283900)</t>
  </si>
  <si>
    <t>ZN9310284000</t>
  </si>
  <si>
    <t>Pulsador interruptor encendido</t>
  </si>
  <si>
    <t>ZN9310284100</t>
  </si>
  <si>
    <t>Pie de goma Zenius.</t>
  </si>
  <si>
    <t>ZN9310284201</t>
  </si>
  <si>
    <t>Cable alimentación Zenius (9310284200)</t>
  </si>
  <si>
    <t>ZN9310290100</t>
  </si>
  <si>
    <t>Termofusibles Zenius 167ºC (10)</t>
  </si>
  <si>
    <t>ZN9310346500</t>
  </si>
  <si>
    <t>Tornillo M3X12 para tapa lateral</t>
  </si>
  <si>
    <t>ZN9310370802</t>
  </si>
  <si>
    <t>Conexión T nuevo diámetro (9310370801)</t>
  </si>
  <si>
    <t>ZN9310371400</t>
  </si>
  <si>
    <t>TRIAC PCBA 230V</t>
  </si>
  <si>
    <t>ZN9310386400</t>
  </si>
  <si>
    <t>Tubo FEP 90 MM (Conector T-Válv. press.)</t>
  </si>
  <si>
    <t>ZN9310386501</t>
  </si>
  <si>
    <t>Tubo FEP 87 MM (Conector T-E. Válvula)</t>
  </si>
  <si>
    <t>ZN9310386600</t>
  </si>
  <si>
    <t>Tubo FEP 68 MM (Conector T- Thermoblock)</t>
  </si>
  <si>
    <t>ZN9310396000</t>
  </si>
  <si>
    <t>Tornillo M4x16 para asa de cierre.</t>
  </si>
  <si>
    <t>ZN9310396100</t>
  </si>
  <si>
    <t>Tornillo 3.5x15 para cubierta frontal.</t>
  </si>
  <si>
    <t>ZN9310424300</t>
  </si>
  <si>
    <t>Conector de chasis</t>
  </si>
  <si>
    <t>ZN9310582200</t>
  </si>
  <si>
    <t>Tapa lateral de plastico</t>
  </si>
  <si>
    <t>ZN9310582400</t>
  </si>
  <si>
    <t>Cubierta frontal de plástico</t>
  </si>
  <si>
    <t>ZN9310613100</t>
  </si>
  <si>
    <t>Kit interruptor encendido Zenius (2) (9310237000)</t>
  </si>
  <si>
    <t>ZN9310766700</t>
  </si>
  <si>
    <t>Tubo FEP 210mm Pump-Evalve Lower (new machine)</t>
  </si>
  <si>
    <t>ZN9310816800</t>
  </si>
  <si>
    <t>Electroválvula 230V Zenius (2) (9310816801)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</si>
</sst>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3" x14ac:knownFonts="1">
    <font>
      <sz val="11"/>
      <name val="Calibri"/>
    </font>
    <font>
      <sz val="11"/>
      <name val="Calibri"/>
      <family val="2"/>
    </font>
    <font>
      <b/>
      <sz val="12"/>
      <color theme="0" tint="-0.499984740745262"/>
      <name val="Ink Free"/>
      <family val="4"/>
    </font>
    <font>
      <b/>
      <sz val="16"/>
      <name val="Ink Free"/>
      <family val="4"/>
    </font>
    <font>
      <b/>
      <sz val="14"/>
      <name val="Ink Free"/>
      <family val="4"/>
    </font>
    <font>
      <sz val="16"/>
      <name val="Ink Free"/>
      <family val="4"/>
    </font>
    <font>
      <b/>
      <sz val="12"/>
      <name val="Aptos"/>
      <family val="2"/>
    </font>
    <font>
      <sz val="12"/>
      <name val="Aptos"/>
      <family val="2"/>
    </font>
    <font>
      <sz val="11"/>
      <name val="Aptos"/>
      <family val="2"/>
    </font>
    <font>
      <b/>
      <sz val="11"/>
      <color rgb="FFFF0000"/>
      <name val="Aptos"/>
      <family val="2"/>
    </font>
    <font>
      <sz val="11"/>
      <color rgb="FFFF0000"/>
      <name val="Aptos"/>
      <family val="2"/>
    </font>
    <font>
      <sz val="11"/>
      <name val="Aptos"/>
      <family val="2"/>
      <charset val="1"/>
    </font>
    <font>
      <b/>
      <sz val="11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0" fillId="2" borderId="0" xfId="0" applyFill="1"/>
    <xf numFmtId="49" fontId="0" fillId="2" borderId="0" xfId="0" applyNumberFormat="1" applyFill="1"/>
    <xf numFmtId="0" fontId="1" fillId="2" borderId="0" xfId="0" applyFont="1" applyFill="1"/>
    <xf numFmtId="0" fontId="0" fillId="3" borderId="0" xfId="0" applyFill="1"/>
    <xf numFmtId="0" fontId="2" fillId="2" borderId="0" xfId="0" applyFont="1" applyFill="1" applyAlignment="1">
      <alignment horizontal="center"/>
    </xf>
    <xf numFmtId="49" fontId="3" fillId="4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64" fontId="4" fillId="0" borderId="1" xfId="0" applyNumberFormat="1" applyFont="1" applyBorder="1"/>
    <xf numFmtId="49" fontId="3" fillId="4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Protection="1">
      <protection locked="0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1" fillId="0" borderId="0" xfId="0" applyFont="1"/>
    <xf numFmtId="49" fontId="8" fillId="0" borderId="0" xfId="0" applyNumberFormat="1" applyFont="1"/>
    <xf numFmtId="0" fontId="8" fillId="0" borderId="0" xfId="0" applyFont="1"/>
    <xf numFmtId="1" fontId="8" fillId="0" borderId="0" xfId="0" applyNumberFormat="1" applyFont="1" applyAlignment="1" applyProtection="1">
      <alignment horizontal="center"/>
      <protection locked="0"/>
    </xf>
    <xf numFmtId="49" fontId="9" fillId="0" borderId="0" xfId="0" applyNumberFormat="1" applyFont="1"/>
    <xf numFmtId="49" fontId="11" fillId="0" borderId="0" xfId="1" applyNumberFormat="1" applyFont="1"/>
    <xf numFmtId="1" fontId="11" fillId="0" borderId="0" xfId="1" applyNumberFormat="1" applyFont="1" applyAlignment="1" applyProtection="1">
      <alignment horizontal="center"/>
      <protection locked="0"/>
    </xf>
    <xf numFmtId="49" fontId="12" fillId="0" borderId="0" xfId="0" applyNumberFormat="1" applyFont="1"/>
    <xf numFmtId="49" fontId="8" fillId="0" borderId="0" xfId="0" applyNumberFormat="1" applyFont="1" applyAlignment="1">
      <alignment vertical="center" wrapText="1"/>
    </xf>
    <xf numFmtId="49" fontId="0" fillId="0" borderId="0" xfId="0" applyNumberFormat="1"/>
  </cellXfs>
  <cellStyles count="2">
    <cellStyle name="Normal" xfId="0" builtinId="0"/>
    <cellStyle name="Normal 2" xfId="1" xr:uid="{71901FF2-4792-4C9D-8FD0-973C8591C443}"/>
  </cellStyles>
  <dxfs count="10">
    <dxf>
      <font>
        <b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1</xdr:row>
      <xdr:rowOff>38100</xdr:rowOff>
    </xdr:from>
    <xdr:to>
      <xdr:col>10</xdr:col>
      <xdr:colOff>393225</xdr:colOff>
      <xdr:row>6</xdr:row>
      <xdr:rowOff>21750</xdr:rowOff>
    </xdr:to>
    <xdr:sp macro="[1]!Ir_Arriba" textlink="">
      <xdr:nvSpPr>
        <xdr:cNvPr id="3" name="Flecha: hacia arriba 2">
          <a:extLst>
            <a:ext uri="{FF2B5EF4-FFF2-40B4-BE49-F238E27FC236}">
              <a16:creationId xmlns:a16="http://schemas.microsoft.com/office/drawing/2014/main" id="{91DB742F-7728-4C5B-ABE9-BF7D01FF9D65}"/>
            </a:ext>
          </a:extLst>
        </xdr:cNvPr>
        <xdr:cNvSpPr/>
      </xdr:nvSpPr>
      <xdr:spPr>
        <a:xfrm>
          <a:off x="10582275" y="152400"/>
          <a:ext cx="1260000" cy="1193325"/>
        </a:xfrm>
        <a:prstGeom prst="upArrow">
          <a:avLst>
            <a:gd name="adj1" fmla="val 73622"/>
            <a:gd name="adj2" fmla="val 50787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 b="1">
              <a:solidFill>
                <a:sysClr val="windowText" lastClr="000000"/>
              </a:solidFill>
              <a:latin typeface="Ink Free" panose="03080402000500000000" pitchFamily="66" charset="0"/>
            </a:rPr>
            <a:t>Ir </a:t>
          </a:r>
          <a:r>
            <a:rPr lang="es-ES" sz="1400" b="1">
              <a:solidFill>
                <a:sysClr val="windowText" lastClr="000000"/>
              </a:solidFill>
              <a:latin typeface="Ink Free" panose="03080402000500000000" pitchFamily="66" charset="0"/>
            </a:rPr>
            <a:t>Arriba</a:t>
          </a:r>
        </a:p>
      </xdr:txBody>
    </xdr:sp>
    <xdr:clientData/>
  </xdr:twoCellAnchor>
  <xdr:twoCellAnchor>
    <xdr:from>
      <xdr:col>10</xdr:col>
      <xdr:colOff>781048</xdr:colOff>
      <xdr:row>1</xdr:row>
      <xdr:rowOff>38100</xdr:rowOff>
    </xdr:from>
    <xdr:to>
      <xdr:col>11</xdr:col>
      <xdr:colOff>993298</xdr:colOff>
      <xdr:row>6</xdr:row>
      <xdr:rowOff>21750</xdr:rowOff>
    </xdr:to>
    <xdr:sp macro="[1]!Borrar_To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15C5AEC-6BFC-41C2-94B6-31461D60F8FB}"/>
            </a:ext>
          </a:extLst>
        </xdr:cNvPr>
        <xdr:cNvSpPr/>
      </xdr:nvSpPr>
      <xdr:spPr>
        <a:xfrm>
          <a:off x="12230098" y="152400"/>
          <a:ext cx="1260000" cy="1193325"/>
        </a:xfrm>
        <a:prstGeom prst="roundRect">
          <a:avLst>
            <a:gd name="adj" fmla="val 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800" b="1">
              <a:solidFill>
                <a:sysClr val="windowText" lastClr="000000"/>
              </a:solidFill>
              <a:latin typeface="Ink Free" panose="03080402000500000000" pitchFamily="66" charset="0"/>
              <a:ea typeface="+mn-ea"/>
              <a:cs typeface="+mn-cs"/>
            </a:rPr>
            <a:t>Borrar Todo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13138</xdr:colOff>
      <xdr:row>6</xdr:row>
      <xdr:rowOff>2250</xdr:rowOff>
    </xdr:to>
    <xdr:sp macro="[1]!Borrar_Busqueda" textlink="">
      <xdr:nvSpPr>
        <xdr:cNvPr id="5" name="Rectángulo 4">
          <a:extLst>
            <a:ext uri="{FF2B5EF4-FFF2-40B4-BE49-F238E27FC236}">
              <a16:creationId xmlns:a16="http://schemas.microsoft.com/office/drawing/2014/main" id="{15F128C8-FF1C-4769-97FE-3336E7F37BF2}"/>
            </a:ext>
          </a:extLst>
        </xdr:cNvPr>
        <xdr:cNvSpPr/>
      </xdr:nvSpPr>
      <xdr:spPr>
        <a:xfrm>
          <a:off x="8001000" y="1038225"/>
          <a:ext cx="1137088" cy="2880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ysClr val="windowText" lastClr="000000"/>
              </a:solidFill>
              <a:latin typeface="Ink Free" panose="03080402000500000000" pitchFamily="66" charset="0"/>
            </a:rPr>
            <a:t>Borrar🔎</a:t>
          </a:r>
          <a:r>
            <a:rPr lang="es-ES" sz="1600" b="1" i="0" u="none" strike="noStrike">
              <a:solidFill>
                <a:sysClr val="windowText" lastClr="000000"/>
              </a:solidFill>
              <a:effectLst/>
              <a:latin typeface="Ink Free" panose="03080402000500000000" pitchFamily="66" charset="0"/>
              <a:ea typeface="+mn-ea"/>
              <a:cs typeface="+mn-cs"/>
            </a:rPr>
            <a:t> </a:t>
          </a:r>
          <a:r>
            <a:rPr lang="es-ES" sz="1600" b="1">
              <a:solidFill>
                <a:sysClr val="windowText" lastClr="000000"/>
              </a:solidFill>
              <a:effectLst/>
              <a:latin typeface="Ink Free" panose="03080402000500000000" pitchFamily="66" charset="0"/>
            </a:rPr>
            <a:t> </a:t>
          </a:r>
          <a:endParaRPr lang="es-ES" sz="1600" b="1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Muntatges\REPARACIONS%20I%20MUNTATGES\Vending\NESPRESSO\DABA%202026\COMANDES\Plantilla%20pedido%20recambios%202025%20V.12.3.xlsm" TargetMode="External"/><Relationship Id="rId1" Type="http://schemas.openxmlformats.org/officeDocument/2006/relationships/externalLinkPath" Target="file:///R:\Muntatges\REPARACIONS%20I%20MUNTATGES\Vending\NESPRESSO\DABA%202026\COMANDES\Plantilla%20pedido%20recambios%202025%20V.1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edidos 10-20 mes"/>
      <sheetName val="17-12-2025"/>
      <sheetName val="22-12-2025"/>
      <sheetName val="05-01-2026"/>
      <sheetName val="07-01-26"/>
      <sheetName val="08-01-2026"/>
      <sheetName val="09-01-2026"/>
      <sheetName val="15-01-2026"/>
      <sheetName val="22-01-2026"/>
      <sheetName val="23-01-26 "/>
      <sheetName val="26-01-26"/>
      <sheetName val="28-01-26"/>
      <sheetName val="29-01-2026"/>
      <sheetName val="04-02-2026"/>
      <sheetName val="09-02-2025"/>
      <sheetName val="11-02-2026"/>
      <sheetName val="12-02-26"/>
      <sheetName val="16-02-2026"/>
      <sheetName val="19-02-2026"/>
      <sheetName val="20-02-2026"/>
      <sheetName val="Recanvis Zn"/>
      <sheetName val="Precios"/>
      <sheetName val="hiddenSheet"/>
    </sheetNames>
    <definedNames>
      <definedName name="Borrar_Busqueda"/>
      <definedName name="Borrar_Todo"/>
      <definedName name="Ir_Arrib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DB035C-0D0A-4762-BB9A-8DD7A3FFC42E}" name="Pedido891011121412131617181921192223" displayName="Pedido891011121412131617181921192223" ref="B8:I920" totalsRowShown="0" headerRowDxfId="9" dataDxfId="8">
  <autoFilter ref="B8:I920" xr:uid="{00000000-000C-0000-FFFF-FFFF00000000}">
    <filterColumn colId="0">
      <filters>
        <filter val="ZENIUS"/>
      </filters>
    </filterColumn>
  </autoFilter>
  <sortState xmlns:xlrd2="http://schemas.microsoft.com/office/spreadsheetml/2017/richdata2" ref="B9:I920">
    <sortCondition ref="C8:C920"/>
  </sortState>
  <tableColumns count="8">
    <tableColumn id="4" xr3:uid="{7C8644A6-1FC2-4F2B-A2EB-BB37E00C9CAB}" name="Família" dataDxfId="7"/>
    <tableColumn id="2" xr3:uid="{C7D8F1EE-05D5-4608-87D9-4977858FDF84}" name="Id de Producto" dataDxfId="6"/>
    <tableColumn id="5" xr3:uid="{2E923C82-293A-4F09-927C-4690140A3FA1}" name="Producto" dataDxfId="5"/>
    <tableColumn id="1" xr3:uid="{847BFF00-AFBD-43DC-A1BB-FA48B7A5CF94}" name="ABC Recambios" dataDxfId="4"/>
    <tableColumn id="9" xr3:uid="{BEFD2546-1671-463F-A2EB-86C94E67DBC2}" name="Pedido" dataDxfId="3"/>
    <tableColumn id="3" xr3:uid="{B91BBA38-3C73-4724-984E-C0A4B1CFFE19}" name="Valor" dataDxfId="2">
      <calculatedColumnFormula array="1">IFERROR(_xlfn.XLOOKUP(Pedido891011121412131617181921192223[[#This Row],[Id de Producto]],[1]!Precios[[#All],[Id de Producto]],[1]!Precios[[#All],[Coste estándar]])*Pedido891011121412131617181921192223[[#This Row],[Pedido]],0)</calculatedColumnFormula>
    </tableColumn>
    <tableColumn id="10" xr3:uid="{12E93272-B2F8-442E-864D-546284EBE981}" name="__match__" dataDxfId="1"/>
    <tableColumn id="6" xr3:uid="{937217BB-0641-430C-81A2-32F786981202}" name="Filtro Familia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D4AE-124C-4EDF-8EED-EC31FFF913D4}">
  <sheetPr codeName="dataSheet22">
    <tabColor rgb="FF00B050"/>
  </sheetPr>
  <dimension ref="A1:S936"/>
  <sheetViews>
    <sheetView tabSelected="1" zoomScaleNormal="100" workbookViewId="0">
      <pane ySplit="8" topLeftCell="A9" activePane="bottomLeft" state="frozen"/>
      <selection activeCell="D1" sqref="D1"/>
      <selection pane="bottomLeft" activeCell="F928" sqref="F928"/>
    </sheetView>
  </sheetViews>
  <sheetFormatPr baseColWidth="10" defaultColWidth="0" defaultRowHeight="15" customHeight="1" zeroHeight="1" x14ac:dyDescent="0.25"/>
  <cols>
    <col min="1" max="1" width="4.7109375" customWidth="1"/>
    <col min="2" max="2" width="17" style="23" bestFit="1" customWidth="1"/>
    <col min="3" max="3" width="22.5703125" style="23" bestFit="1" customWidth="1"/>
    <col min="4" max="4" width="75.7109375" style="23" bestFit="1" customWidth="1"/>
    <col min="5" max="5" width="16.85546875" style="23" bestFit="1" customWidth="1"/>
    <col min="6" max="6" width="19.140625" customWidth="1"/>
    <col min="7" max="7" width="14.140625" hidden="1" customWidth="1"/>
    <col min="8" max="8" width="11.42578125" hidden="1" customWidth="1"/>
    <col min="9" max="9" width="17" style="14" hidden="1" customWidth="1"/>
    <col min="10" max="12" width="15.7109375" customWidth="1"/>
    <col min="13" max="13" width="11.42578125" customWidth="1"/>
    <col min="14" max="14" width="11.42578125" hidden="1" customWidth="1"/>
    <col min="15" max="15" width="0" hidden="1" customWidth="1"/>
    <col min="16" max="18" width="11.42578125" hidden="1" customWidth="1"/>
    <col min="19" max="19" width="0" hidden="1" customWidth="1"/>
    <col min="20" max="16384" width="11.42578125" hidden="1"/>
  </cols>
  <sheetData>
    <row r="1" spans="1:14" s="4" customFormat="1" ht="9" customHeight="1" x14ac:dyDescent="0.25">
      <c r="A1" s="1"/>
      <c r="B1" s="2"/>
      <c r="C1" s="2"/>
      <c r="D1" s="2"/>
      <c r="E1" s="2"/>
      <c r="F1" s="1"/>
      <c r="G1" s="1"/>
      <c r="H1" s="1"/>
      <c r="I1" s="3"/>
      <c r="J1" s="1"/>
      <c r="K1" s="1"/>
      <c r="L1" s="1"/>
      <c r="M1" s="1"/>
    </row>
    <row r="2" spans="1:14" s="4" customFormat="1" ht="17.25" thickBot="1" x14ac:dyDescent="0.35">
      <c r="A2" s="1"/>
      <c r="B2" s="2"/>
      <c r="C2" s="2"/>
      <c r="D2" s="2"/>
      <c r="E2" s="2"/>
      <c r="F2" s="2"/>
      <c r="G2" s="3"/>
      <c r="H2" s="1"/>
      <c r="I2" s="3"/>
      <c r="J2" s="1"/>
      <c r="K2" s="1"/>
      <c r="L2" s="1"/>
      <c r="M2" s="5" t="s">
        <v>0</v>
      </c>
    </row>
    <row r="3" spans="1:14" s="4" customFormat="1" ht="23.25" customHeight="1" thickBot="1" x14ac:dyDescent="0.45">
      <c r="A3" s="1"/>
      <c r="B3" s="6" t="s">
        <v>1</v>
      </c>
      <c r="C3" s="2"/>
      <c r="D3" s="2"/>
      <c r="E3" s="2"/>
      <c r="F3" s="6" t="s">
        <v>2</v>
      </c>
      <c r="G3" s="3"/>
      <c r="H3" s="1"/>
      <c r="I3" s="3"/>
      <c r="J3" s="1"/>
      <c r="K3" s="1"/>
      <c r="L3" s="1"/>
      <c r="M3" s="5" t="s">
        <v>3</v>
      </c>
    </row>
    <row r="4" spans="1:14" s="4" customFormat="1" ht="23.25" customHeight="1" thickBot="1" x14ac:dyDescent="0.45">
      <c r="A4" s="1"/>
      <c r="B4" s="7" t="s">
        <v>4</v>
      </c>
      <c r="C4" s="2"/>
      <c r="D4" s="2"/>
      <c r="E4" s="2"/>
      <c r="F4" s="8">
        <f>SUM(Pedido891011121412131617181921192223[Valor])</f>
        <v>0</v>
      </c>
      <c r="G4" s="3"/>
      <c r="H4" s="1"/>
      <c r="I4" s="3"/>
      <c r="J4" s="1"/>
      <c r="K4" s="1"/>
      <c r="L4" s="1"/>
      <c r="M4" s="5"/>
    </row>
    <row r="5" spans="1:14" s="4" customFormat="1" ht="9" customHeight="1" thickBot="1" x14ac:dyDescent="0.35">
      <c r="A5" s="1"/>
      <c r="B5" s="2"/>
      <c r="C5" s="2"/>
      <c r="D5" s="2"/>
      <c r="E5" s="2"/>
      <c r="F5" s="2"/>
      <c r="G5" s="3"/>
      <c r="H5" s="1"/>
      <c r="I5" s="3"/>
      <c r="J5" s="1"/>
      <c r="K5" s="1"/>
      <c r="L5" s="1"/>
      <c r="M5" s="5"/>
    </row>
    <row r="6" spans="1:14" s="4" customFormat="1" ht="22.5" thickBot="1" x14ac:dyDescent="0.35">
      <c r="A6" s="1"/>
      <c r="B6" s="2"/>
      <c r="C6" s="9" t="s">
        <v>5</v>
      </c>
      <c r="D6" s="10"/>
      <c r="E6" s="9" t="s">
        <v>6</v>
      </c>
      <c r="F6" s="1"/>
      <c r="G6" s="3"/>
      <c r="H6" s="1"/>
      <c r="I6" s="3"/>
      <c r="J6" s="1"/>
      <c r="K6" s="1"/>
      <c r="L6" s="1"/>
      <c r="M6" s="5"/>
    </row>
    <row r="7" spans="1:14" s="4" customFormat="1" ht="9" customHeight="1" x14ac:dyDescent="0.25">
      <c r="A7" s="1"/>
      <c r="B7" s="2"/>
      <c r="C7" s="2"/>
      <c r="D7" s="2"/>
      <c r="E7" s="2"/>
      <c r="F7" s="1"/>
      <c r="G7" s="1"/>
      <c r="H7" s="1"/>
      <c r="I7" s="3"/>
      <c r="J7" s="1"/>
      <c r="K7" s="1"/>
      <c r="L7" s="1"/>
      <c r="M7" s="1"/>
    </row>
    <row r="8" spans="1:14" ht="15.75" x14ac:dyDescent="0.25">
      <c r="A8" s="1"/>
      <c r="B8" s="11" t="s">
        <v>7</v>
      </c>
      <c r="C8" s="12" t="s">
        <v>8</v>
      </c>
      <c r="D8" s="12" t="s">
        <v>9</v>
      </c>
      <c r="E8" s="12" t="s">
        <v>10</v>
      </c>
      <c r="F8" s="13" t="s">
        <v>11</v>
      </c>
      <c r="G8" s="14" t="s">
        <v>12</v>
      </c>
      <c r="H8" t="s">
        <v>13</v>
      </c>
      <c r="I8" s="14" t="s">
        <v>14</v>
      </c>
      <c r="J8" s="1"/>
      <c r="K8" s="1"/>
      <c r="L8" s="1"/>
      <c r="M8" s="1"/>
      <c r="N8" s="1"/>
    </row>
    <row r="9" spans="1:14" x14ac:dyDescent="0.25">
      <c r="A9" s="1"/>
      <c r="B9" s="15" t="s">
        <v>15</v>
      </c>
      <c r="C9" s="15" t="s">
        <v>16</v>
      </c>
      <c r="D9" s="15" t="s">
        <v>17</v>
      </c>
      <c r="E9" s="16" t="s">
        <v>18</v>
      </c>
      <c r="F9" s="17"/>
      <c r="G9" cm="1">
        <f t="array" ref="G9">IFERROR(_xlfn.XLOOKUP(Pedido891011121412131617181921192223[[#This Row],[Id de Producto]],[1]!Precios[[#All],[Id de Producto]],[1]!Precios[[#All],[Coste estándar]])*Pedido891011121412131617181921192223[[#This Row],[Pedido]],0)</f>
        <v>0</v>
      </c>
      <c r="H9" s="15">
        <v>0</v>
      </c>
      <c r="I9" s="15" t="s">
        <v>15</v>
      </c>
      <c r="J9" s="1"/>
      <c r="K9" s="1"/>
      <c r="L9" s="1"/>
      <c r="M9" s="1"/>
      <c r="N9" s="1"/>
    </row>
    <row r="10" spans="1:14" hidden="1" x14ac:dyDescent="0.25">
      <c r="A10" s="1"/>
      <c r="B10" s="15" t="s">
        <v>19</v>
      </c>
      <c r="C10" s="15" t="s">
        <v>20</v>
      </c>
      <c r="D10" s="15" t="s">
        <v>21</v>
      </c>
      <c r="E10" s="15" t="s">
        <v>22</v>
      </c>
      <c r="F10" s="17"/>
      <c r="G10" cm="1">
        <f t="array" ref="G10">IFERROR(_xlfn.XLOOKUP(Pedido891011121412131617181921192223[[#This Row],[Id de Producto]],[1]!Precios[[#All],[Id de Producto]],[1]!Precios[[#All],[Coste estándar]])*Pedido891011121412131617181921192223[[#This Row],[Pedido]],0)</f>
        <v>0</v>
      </c>
      <c r="H10" s="18">
        <v>0</v>
      </c>
      <c r="I10" s="16" t="s">
        <v>23</v>
      </c>
      <c r="J10" s="1"/>
      <c r="K10" s="1"/>
      <c r="L10" s="1"/>
      <c r="M10" s="1"/>
      <c r="N10" s="1"/>
    </row>
    <row r="11" spans="1:14" hidden="1" x14ac:dyDescent="0.25">
      <c r="A11" s="1"/>
      <c r="B11" s="15" t="s">
        <v>19</v>
      </c>
      <c r="C11" s="15" t="s">
        <v>24</v>
      </c>
      <c r="D11" s="15" t="s">
        <v>25</v>
      </c>
      <c r="E11" s="16" t="s">
        <v>26</v>
      </c>
      <c r="F11" s="17"/>
      <c r="G11" cm="1">
        <f t="array" ref="G11">IFERROR(_xlfn.XLOOKUP(Pedido891011121412131617181921192223[[#This Row],[Id de Producto]],[1]!Precios[[#All],[Id de Producto]],[1]!Precios[[#All],[Coste estándar]])*Pedido891011121412131617181921192223[[#This Row],[Pedido]],0)</f>
        <v>0</v>
      </c>
      <c r="H11" s="15">
        <v>0</v>
      </c>
      <c r="I11" s="15" t="s">
        <v>23</v>
      </c>
      <c r="J11" s="1"/>
      <c r="K11" s="1"/>
      <c r="L11" s="1"/>
      <c r="M11" s="1"/>
      <c r="N11" s="1"/>
    </row>
    <row r="12" spans="1:14" hidden="1" x14ac:dyDescent="0.25">
      <c r="A12" s="1"/>
      <c r="B12" s="15" t="s">
        <v>19</v>
      </c>
      <c r="C12" s="15" t="s">
        <v>27</v>
      </c>
      <c r="D12" s="15" t="s">
        <v>28</v>
      </c>
      <c r="E12" s="15"/>
      <c r="F12" s="17"/>
      <c r="G12" cm="1">
        <f t="array" ref="G12">IFERROR(_xlfn.XLOOKUP(Pedido891011121412131617181921192223[[#This Row],[Id de Producto]],[1]!Precios[[#All],[Id de Producto]],[1]!Precios[[#All],[Coste estándar]])*Pedido891011121412131617181921192223[[#This Row],[Pedido]],0)</f>
        <v>0</v>
      </c>
      <c r="H12" s="15"/>
      <c r="I12" s="15"/>
      <c r="J12" s="1"/>
      <c r="K12" s="1"/>
      <c r="L12" s="1"/>
      <c r="M12" s="1"/>
      <c r="N12" s="1"/>
    </row>
    <row r="13" spans="1:14" hidden="1" x14ac:dyDescent="0.25">
      <c r="A13" s="1"/>
      <c r="B13" s="15" t="s">
        <v>19</v>
      </c>
      <c r="C13" s="15" t="s">
        <v>29</v>
      </c>
      <c r="D13" s="15" t="s">
        <v>30</v>
      </c>
      <c r="E13" s="16" t="s">
        <v>26</v>
      </c>
      <c r="F13" s="17"/>
      <c r="G13" cm="1">
        <f t="array" ref="G13">IFERROR(_xlfn.XLOOKUP(Pedido891011121412131617181921192223[[#This Row],[Id de Producto]],[1]!Precios[[#All],[Id de Producto]],[1]!Precios[[#All],[Coste estándar]])*Pedido891011121412131617181921192223[[#This Row],[Pedido]],0)</f>
        <v>0</v>
      </c>
      <c r="H13" s="15">
        <v>0</v>
      </c>
      <c r="I13" s="15" t="s">
        <v>23</v>
      </c>
      <c r="J13" s="1"/>
      <c r="K13" s="1"/>
      <c r="L13" s="1"/>
      <c r="M13" s="1"/>
      <c r="N13" s="1"/>
    </row>
    <row r="14" spans="1:14" hidden="1" x14ac:dyDescent="0.25">
      <c r="A14" s="1"/>
      <c r="B14" s="15" t="s">
        <v>19</v>
      </c>
      <c r="C14" s="15" t="s">
        <v>31</v>
      </c>
      <c r="D14" s="15" t="s">
        <v>32</v>
      </c>
      <c r="E14" s="16" t="s">
        <v>26</v>
      </c>
      <c r="F14" s="17"/>
      <c r="G14" cm="1">
        <f t="array" ref="G14">IFERROR(_xlfn.XLOOKUP(Pedido891011121412131617181921192223[[#This Row],[Id de Producto]],[1]!Precios[[#All],[Id de Producto]],[1]!Precios[[#All],[Coste estándar]])*Pedido891011121412131617181921192223[[#This Row],[Pedido]],0)</f>
        <v>0</v>
      </c>
      <c r="H14" s="15">
        <v>0</v>
      </c>
      <c r="I14" s="15" t="s">
        <v>23</v>
      </c>
      <c r="J14" s="1"/>
      <c r="K14" s="1"/>
      <c r="L14" s="1"/>
      <c r="M14" s="1"/>
      <c r="N14" s="1"/>
    </row>
    <row r="15" spans="1:14" hidden="1" x14ac:dyDescent="0.25">
      <c r="A15" s="1"/>
      <c r="B15" s="15" t="s">
        <v>19</v>
      </c>
      <c r="C15" s="15" t="s">
        <v>33</v>
      </c>
      <c r="D15" s="15" t="s">
        <v>34</v>
      </c>
      <c r="E15" s="16" t="s">
        <v>22</v>
      </c>
      <c r="F15" s="17"/>
      <c r="G15" cm="1">
        <f t="array" ref="G15">IFERROR(_xlfn.XLOOKUP(Pedido891011121412131617181921192223[[#This Row],[Id de Producto]],[1]!Precios[[#All],[Id de Producto]],[1]!Precios[[#All],[Coste estándar]])*Pedido891011121412131617181921192223[[#This Row],[Pedido]],0)</f>
        <v>0</v>
      </c>
      <c r="H15" s="15">
        <v>0</v>
      </c>
      <c r="I15" s="15" t="s">
        <v>23</v>
      </c>
      <c r="J15" s="1"/>
      <c r="K15" s="1"/>
      <c r="L15" s="1"/>
      <c r="M15" s="1"/>
      <c r="N15" s="1"/>
    </row>
    <row r="16" spans="1:14" hidden="1" x14ac:dyDescent="0.25">
      <c r="A16" s="1"/>
      <c r="B16" s="15" t="s">
        <v>19</v>
      </c>
      <c r="C16" s="15" t="s">
        <v>35</v>
      </c>
      <c r="D16" s="15" t="s">
        <v>36</v>
      </c>
      <c r="E16" s="15" t="s">
        <v>26</v>
      </c>
      <c r="F16" s="17"/>
      <c r="G16" cm="1">
        <f t="array" ref="G16">IFERROR(_xlfn.XLOOKUP(Pedido891011121412131617181921192223[[#This Row],[Id de Producto]],[1]!Precios[[#All],[Id de Producto]],[1]!Precios[[#All],[Coste estándar]])*Pedido891011121412131617181921192223[[#This Row],[Pedido]],0)</f>
        <v>0</v>
      </c>
      <c r="H16" s="18">
        <v>0</v>
      </c>
      <c r="I16" s="16" t="s">
        <v>23</v>
      </c>
      <c r="J16" s="1"/>
      <c r="K16" s="1"/>
      <c r="L16" s="1"/>
      <c r="M16" s="1"/>
      <c r="N16" s="1"/>
    </row>
    <row r="17" spans="1:14" hidden="1" x14ac:dyDescent="0.25">
      <c r="A17" s="1"/>
      <c r="B17" s="15" t="s">
        <v>19</v>
      </c>
      <c r="C17" s="15" t="s">
        <v>37</v>
      </c>
      <c r="D17" s="15" t="s">
        <v>38</v>
      </c>
      <c r="E17" s="15" t="s">
        <v>26</v>
      </c>
      <c r="F17" s="17"/>
      <c r="G17" cm="1">
        <f t="array" ref="G17">IFERROR(_xlfn.XLOOKUP(Pedido891011121412131617181921192223[[#This Row],[Id de Producto]],[1]!Precios[[#All],[Id de Producto]],[1]!Precios[[#All],[Coste estándar]])*Pedido891011121412131617181921192223[[#This Row],[Pedido]],0)</f>
        <v>0</v>
      </c>
      <c r="H17" s="18">
        <v>0</v>
      </c>
      <c r="I17" s="16" t="s">
        <v>23</v>
      </c>
      <c r="J17" s="1"/>
      <c r="K17" s="1"/>
      <c r="L17" s="1"/>
      <c r="M17" s="1"/>
      <c r="N17" s="1"/>
    </row>
    <row r="18" spans="1:14" hidden="1" x14ac:dyDescent="0.25">
      <c r="A18" s="1"/>
      <c r="B18" s="15" t="s">
        <v>19</v>
      </c>
      <c r="C18" s="15" t="s">
        <v>39</v>
      </c>
      <c r="D18" s="15" t="s">
        <v>40</v>
      </c>
      <c r="E18" s="16" t="s">
        <v>26</v>
      </c>
      <c r="F18" s="17"/>
      <c r="G18" cm="1">
        <f t="array" ref="G18">IFERROR(_xlfn.XLOOKUP(Pedido891011121412131617181921192223[[#This Row],[Id de Producto]],[1]!Precios[[#All],[Id de Producto]],[1]!Precios[[#All],[Coste estándar]])*Pedido891011121412131617181921192223[[#This Row],[Pedido]],0)</f>
        <v>0</v>
      </c>
      <c r="H18" s="18">
        <v>0</v>
      </c>
      <c r="I18" s="16" t="s">
        <v>23</v>
      </c>
      <c r="J18" s="1"/>
      <c r="K18" s="1"/>
      <c r="L18" s="1"/>
      <c r="M18" s="1"/>
      <c r="N18" s="1"/>
    </row>
    <row r="19" spans="1:14" hidden="1" x14ac:dyDescent="0.25">
      <c r="A19" s="1"/>
      <c r="B19" s="15" t="s">
        <v>19</v>
      </c>
      <c r="C19" s="15" t="s">
        <v>41</v>
      </c>
      <c r="D19" s="15" t="s">
        <v>42</v>
      </c>
      <c r="E19" s="16" t="s">
        <v>26</v>
      </c>
      <c r="F19" s="17"/>
      <c r="G19" cm="1">
        <f t="array" ref="G19">IFERROR(_xlfn.XLOOKUP(Pedido891011121412131617181921192223[[#This Row],[Id de Producto]],[1]!Precios[[#All],[Id de Producto]],[1]!Precios[[#All],[Coste estándar]])*Pedido891011121412131617181921192223[[#This Row],[Pedido]],0)</f>
        <v>0</v>
      </c>
      <c r="H19" s="18">
        <v>0</v>
      </c>
      <c r="I19" s="16" t="s">
        <v>23</v>
      </c>
      <c r="J19" s="1"/>
      <c r="K19" s="1"/>
      <c r="L19" s="1"/>
      <c r="M19" s="1"/>
      <c r="N19" s="1"/>
    </row>
    <row r="20" spans="1:14" hidden="1" x14ac:dyDescent="0.25">
      <c r="A20" s="1"/>
      <c r="B20" s="15" t="s">
        <v>19</v>
      </c>
      <c r="C20" s="15" t="s">
        <v>43</v>
      </c>
      <c r="D20" s="15" t="s">
        <v>44</v>
      </c>
      <c r="E20" s="16" t="s">
        <v>26</v>
      </c>
      <c r="F20" s="17"/>
      <c r="G20" cm="1">
        <f t="array" ref="G20">IFERROR(_xlfn.XLOOKUP(Pedido891011121412131617181921192223[[#This Row],[Id de Producto]],[1]!Precios[[#All],[Id de Producto]],[1]!Precios[[#All],[Coste estándar]])*Pedido891011121412131617181921192223[[#This Row],[Pedido]],0)</f>
        <v>0</v>
      </c>
      <c r="H20" s="18">
        <v>0</v>
      </c>
      <c r="I20" s="16" t="s">
        <v>23</v>
      </c>
      <c r="J20" s="1"/>
      <c r="K20" s="1"/>
      <c r="L20" s="1"/>
      <c r="M20" s="1"/>
      <c r="N20" s="1"/>
    </row>
    <row r="21" spans="1:14" hidden="1" x14ac:dyDescent="0.25">
      <c r="A21" s="1"/>
      <c r="B21" s="15" t="s">
        <v>19</v>
      </c>
      <c r="C21" s="15" t="s">
        <v>45</v>
      </c>
      <c r="D21" s="15" t="s">
        <v>46</v>
      </c>
      <c r="E21" s="16" t="s">
        <v>22</v>
      </c>
      <c r="F21" s="17"/>
      <c r="G21" cm="1">
        <f t="array" ref="G21">IFERROR(_xlfn.XLOOKUP(Pedido891011121412131617181921192223[[#This Row],[Id de Producto]],[1]!Precios[[#All],[Id de Producto]],[1]!Precios[[#All],[Coste estándar]])*Pedido891011121412131617181921192223[[#This Row],[Pedido]],0)</f>
        <v>0</v>
      </c>
      <c r="H21" s="18">
        <v>0</v>
      </c>
      <c r="I21" s="16" t="s">
        <v>23</v>
      </c>
      <c r="J21" s="1"/>
      <c r="K21" s="1"/>
      <c r="L21" s="1"/>
      <c r="M21" s="1"/>
      <c r="N21" s="1"/>
    </row>
    <row r="22" spans="1:14" hidden="1" x14ac:dyDescent="0.25">
      <c r="A22" s="1"/>
      <c r="B22" s="15" t="s">
        <v>19</v>
      </c>
      <c r="C22" s="15" t="s">
        <v>47</v>
      </c>
      <c r="D22" s="15" t="s">
        <v>48</v>
      </c>
      <c r="E22" s="16" t="s">
        <v>22</v>
      </c>
      <c r="F22" s="17"/>
      <c r="G22" cm="1">
        <f t="array" ref="G22">IFERROR(_xlfn.XLOOKUP(Pedido891011121412131617181921192223[[#This Row],[Id de Producto]],[1]!Precios[[#All],[Id de Producto]],[1]!Precios[[#All],[Coste estándar]])*Pedido891011121412131617181921192223[[#This Row],[Pedido]],0)</f>
        <v>0</v>
      </c>
      <c r="H22" s="15">
        <v>0</v>
      </c>
      <c r="I22" s="15" t="s">
        <v>23</v>
      </c>
      <c r="J22" s="1"/>
      <c r="K22" s="1"/>
      <c r="L22" s="1"/>
      <c r="M22" s="1"/>
      <c r="N22" s="1"/>
    </row>
    <row r="23" spans="1:14" hidden="1" x14ac:dyDescent="0.25">
      <c r="A23" s="1"/>
      <c r="B23" s="15" t="s">
        <v>19</v>
      </c>
      <c r="C23" s="15" t="s">
        <v>49</v>
      </c>
      <c r="D23" s="15" t="s">
        <v>50</v>
      </c>
      <c r="E23" s="16" t="s">
        <v>26</v>
      </c>
      <c r="F23" s="17"/>
      <c r="G23" cm="1">
        <f t="array" ref="G23">IFERROR(_xlfn.XLOOKUP(Pedido891011121412131617181921192223[[#This Row],[Id de Producto]],[1]!Precios[[#All],[Id de Producto]],[1]!Precios[[#All],[Coste estándar]])*Pedido891011121412131617181921192223[[#This Row],[Pedido]],0)</f>
        <v>0</v>
      </c>
      <c r="H23" s="15">
        <v>0</v>
      </c>
      <c r="I23" s="15" t="s">
        <v>23</v>
      </c>
      <c r="J23" s="1"/>
      <c r="K23" s="1"/>
      <c r="L23" s="1"/>
      <c r="M23" s="1"/>
      <c r="N23" s="1"/>
    </row>
    <row r="24" spans="1:14" hidden="1" x14ac:dyDescent="0.25">
      <c r="A24" s="1"/>
      <c r="B24" s="15" t="s">
        <v>19</v>
      </c>
      <c r="C24" s="15" t="s">
        <v>51</v>
      </c>
      <c r="D24" s="15" t="s">
        <v>52</v>
      </c>
      <c r="E24" s="16" t="s">
        <v>26</v>
      </c>
      <c r="F24" s="17"/>
      <c r="G24" cm="1">
        <f t="array" ref="G24">IFERROR(_xlfn.XLOOKUP(Pedido891011121412131617181921192223[[#This Row],[Id de Producto]],[1]!Precios[[#All],[Id de Producto]],[1]!Precios[[#All],[Coste estándar]])*Pedido891011121412131617181921192223[[#This Row],[Pedido]],0)</f>
        <v>0</v>
      </c>
      <c r="H24" s="15">
        <v>0</v>
      </c>
      <c r="I24" s="15" t="s">
        <v>23</v>
      </c>
      <c r="J24" s="1"/>
      <c r="K24" s="1"/>
      <c r="L24" s="1"/>
      <c r="M24" s="1"/>
      <c r="N24" s="1"/>
    </row>
    <row r="25" spans="1:14" hidden="1" x14ac:dyDescent="0.25">
      <c r="A25" s="1"/>
      <c r="B25" s="15" t="s">
        <v>19</v>
      </c>
      <c r="C25" s="15" t="s">
        <v>53</v>
      </c>
      <c r="D25" s="15" t="s">
        <v>54</v>
      </c>
      <c r="E25" s="15" t="s">
        <v>26</v>
      </c>
      <c r="F25" s="17"/>
      <c r="G25" cm="1">
        <f t="array" ref="G25">IFERROR(_xlfn.XLOOKUP(Pedido891011121412131617181921192223[[#This Row],[Id de Producto]],[1]!Precios[[#All],[Id de Producto]],[1]!Precios[[#All],[Coste estándar]])*Pedido891011121412131617181921192223[[#This Row],[Pedido]],0)</f>
        <v>0</v>
      </c>
      <c r="H25" s="18">
        <v>0</v>
      </c>
      <c r="I25" s="16" t="s">
        <v>23</v>
      </c>
      <c r="J25" s="1"/>
      <c r="K25" s="1"/>
      <c r="L25" s="1"/>
      <c r="M25" s="1"/>
      <c r="N25" s="1"/>
    </row>
    <row r="26" spans="1:14" hidden="1" x14ac:dyDescent="0.25">
      <c r="A26" s="1"/>
      <c r="B26" s="15" t="s">
        <v>19</v>
      </c>
      <c r="C26" s="15" t="s">
        <v>55</v>
      </c>
      <c r="D26" s="15" t="s">
        <v>56</v>
      </c>
      <c r="E26" s="15" t="s">
        <v>22</v>
      </c>
      <c r="F26" s="17"/>
      <c r="G26" cm="1">
        <f t="array" ref="G26">IFERROR(_xlfn.XLOOKUP(Pedido891011121412131617181921192223[[#This Row],[Id de Producto]],[1]!Precios[[#All],[Id de Producto]],[1]!Precios[[#All],[Coste estándar]])*Pedido891011121412131617181921192223[[#This Row],[Pedido]],0)</f>
        <v>0</v>
      </c>
      <c r="H26" s="18">
        <v>0</v>
      </c>
      <c r="I26" s="16" t="s">
        <v>23</v>
      </c>
      <c r="J26" s="1"/>
      <c r="K26" s="1"/>
      <c r="L26" s="1"/>
      <c r="M26" s="1"/>
      <c r="N26" s="1"/>
    </row>
    <row r="27" spans="1:14" hidden="1" x14ac:dyDescent="0.25">
      <c r="A27" s="1"/>
      <c r="B27" s="15" t="s">
        <v>19</v>
      </c>
      <c r="C27" s="15" t="s">
        <v>57</v>
      </c>
      <c r="D27" s="15" t="s">
        <v>58</v>
      </c>
      <c r="E27" s="16" t="s">
        <v>26</v>
      </c>
      <c r="F27" s="17"/>
      <c r="G27" cm="1">
        <f t="array" ref="G27">IFERROR(_xlfn.XLOOKUP(Pedido891011121412131617181921192223[[#This Row],[Id de Producto]],[1]!Precios[[#All],[Id de Producto]],[1]!Precios[[#All],[Coste estándar]])*Pedido891011121412131617181921192223[[#This Row],[Pedido]],0)</f>
        <v>0</v>
      </c>
      <c r="H27" s="15">
        <v>0</v>
      </c>
      <c r="I27" s="15" t="s">
        <v>23</v>
      </c>
      <c r="J27" s="1"/>
      <c r="K27" s="1"/>
      <c r="L27" s="1"/>
      <c r="M27" s="1"/>
      <c r="N27" s="1"/>
    </row>
    <row r="28" spans="1:14" hidden="1" x14ac:dyDescent="0.25">
      <c r="A28" s="1"/>
      <c r="B28" s="15" t="s">
        <v>19</v>
      </c>
      <c r="C28" s="15" t="s">
        <v>59</v>
      </c>
      <c r="D28" s="15" t="s">
        <v>60</v>
      </c>
      <c r="E28" s="16" t="s">
        <v>26</v>
      </c>
      <c r="F28" s="17"/>
      <c r="G28" cm="1">
        <f t="array" ref="G28">IFERROR(_xlfn.XLOOKUP(Pedido891011121412131617181921192223[[#This Row],[Id de Producto]],[1]!Precios[[#All],[Id de Producto]],[1]!Precios[[#All],[Coste estándar]])*Pedido891011121412131617181921192223[[#This Row],[Pedido]],0)</f>
        <v>0</v>
      </c>
      <c r="H28" s="15">
        <v>0</v>
      </c>
      <c r="I28" s="15" t="s">
        <v>23</v>
      </c>
      <c r="J28" s="1"/>
      <c r="K28" s="1"/>
      <c r="L28" s="1"/>
      <c r="M28" s="1"/>
      <c r="N28" s="1"/>
    </row>
    <row r="29" spans="1:14" hidden="1" x14ac:dyDescent="0.25">
      <c r="A29" s="1"/>
      <c r="B29" s="15" t="s">
        <v>19</v>
      </c>
      <c r="C29" s="15" t="s">
        <v>61</v>
      </c>
      <c r="D29" s="15" t="s">
        <v>62</v>
      </c>
      <c r="E29" s="16" t="s">
        <v>26</v>
      </c>
      <c r="F29" s="17"/>
      <c r="G29" cm="1">
        <f t="array" ref="G29">IFERROR(_xlfn.XLOOKUP(Pedido891011121412131617181921192223[[#This Row],[Id de Producto]],[1]!Precios[[#All],[Id de Producto]],[1]!Precios[[#All],[Coste estándar]])*Pedido891011121412131617181921192223[[#This Row],[Pedido]],0)</f>
        <v>0</v>
      </c>
      <c r="H29" s="15">
        <v>0</v>
      </c>
      <c r="I29" s="15" t="s">
        <v>23</v>
      </c>
      <c r="J29" s="1"/>
      <c r="K29" s="1"/>
      <c r="L29" s="1"/>
      <c r="M29" s="1"/>
      <c r="N29" s="1"/>
    </row>
    <row r="30" spans="1:14" hidden="1" x14ac:dyDescent="0.25">
      <c r="A30" s="1"/>
      <c r="B30" s="15" t="s">
        <v>19</v>
      </c>
      <c r="C30" s="15" t="s">
        <v>63</v>
      </c>
      <c r="D30" s="15" t="s">
        <v>64</v>
      </c>
      <c r="E30" s="16" t="s">
        <v>26</v>
      </c>
      <c r="F30" s="17"/>
      <c r="G30" cm="1">
        <f t="array" ref="G30">IFERROR(_xlfn.XLOOKUP(Pedido891011121412131617181921192223[[#This Row],[Id de Producto]],[1]!Precios[[#All],[Id de Producto]],[1]!Precios[[#All],[Coste estándar]])*Pedido891011121412131617181921192223[[#This Row],[Pedido]],0)</f>
        <v>0</v>
      </c>
      <c r="H30" s="15">
        <v>0</v>
      </c>
      <c r="I30" s="15" t="s">
        <v>23</v>
      </c>
      <c r="J30" s="1"/>
      <c r="K30" s="1"/>
      <c r="L30" s="1"/>
      <c r="M30" s="1"/>
      <c r="N30" s="1"/>
    </row>
    <row r="31" spans="1:14" hidden="1" x14ac:dyDescent="0.25">
      <c r="A31" s="1"/>
      <c r="B31" s="15" t="s">
        <v>19</v>
      </c>
      <c r="C31" s="15" t="s">
        <v>65</v>
      </c>
      <c r="D31" s="15" t="s">
        <v>66</v>
      </c>
      <c r="E31" s="16" t="s">
        <v>26</v>
      </c>
      <c r="F31" s="17"/>
      <c r="G31" cm="1">
        <f t="array" ref="G31">IFERROR(_xlfn.XLOOKUP(Pedido891011121412131617181921192223[[#This Row],[Id de Producto]],[1]!Precios[[#All],[Id de Producto]],[1]!Precios[[#All],[Coste estándar]])*Pedido891011121412131617181921192223[[#This Row],[Pedido]],0)</f>
        <v>0</v>
      </c>
      <c r="H31" s="15">
        <v>0</v>
      </c>
      <c r="I31" s="15" t="s">
        <v>23</v>
      </c>
      <c r="J31" s="1"/>
      <c r="K31" s="1"/>
      <c r="L31" s="1"/>
      <c r="M31" s="1"/>
      <c r="N31" s="1"/>
    </row>
    <row r="32" spans="1:14" hidden="1" x14ac:dyDescent="0.25">
      <c r="A32" s="1"/>
      <c r="B32" s="15" t="s">
        <v>19</v>
      </c>
      <c r="C32" s="15" t="s">
        <v>67</v>
      </c>
      <c r="D32" s="15" t="s">
        <v>68</v>
      </c>
      <c r="E32" s="16" t="s">
        <v>26</v>
      </c>
      <c r="F32" s="17"/>
      <c r="G32" cm="1">
        <f t="array" ref="G32">IFERROR(_xlfn.XLOOKUP(Pedido891011121412131617181921192223[[#This Row],[Id de Producto]],[1]!Precios[[#All],[Id de Producto]],[1]!Precios[[#All],[Coste estándar]])*Pedido891011121412131617181921192223[[#This Row],[Pedido]],0)</f>
        <v>0</v>
      </c>
      <c r="H32" s="15">
        <v>0</v>
      </c>
      <c r="I32" s="15" t="s">
        <v>23</v>
      </c>
      <c r="J32" s="1"/>
      <c r="K32" s="1"/>
      <c r="L32" s="1"/>
      <c r="M32" s="1"/>
      <c r="N32" s="1"/>
    </row>
    <row r="33" spans="1:14" hidden="1" x14ac:dyDescent="0.25">
      <c r="A33" s="1"/>
      <c r="B33" s="15" t="s">
        <v>19</v>
      </c>
      <c r="C33" s="15" t="s">
        <v>69</v>
      </c>
      <c r="D33" s="15" t="s">
        <v>70</v>
      </c>
      <c r="E33" s="16" t="s">
        <v>26</v>
      </c>
      <c r="F33" s="17"/>
      <c r="G33" cm="1">
        <f t="array" ref="G33">IFERROR(_xlfn.XLOOKUP(Pedido891011121412131617181921192223[[#This Row],[Id de Producto]],[1]!Precios[[#All],[Id de Producto]],[1]!Precios[[#All],[Coste estándar]])*Pedido891011121412131617181921192223[[#This Row],[Pedido]],0)</f>
        <v>0</v>
      </c>
      <c r="H33" s="15">
        <v>0</v>
      </c>
      <c r="I33" s="15" t="s">
        <v>23</v>
      </c>
      <c r="J33" s="1"/>
      <c r="K33" s="1"/>
      <c r="L33" s="1"/>
      <c r="M33" s="1"/>
      <c r="N33" s="1"/>
    </row>
    <row r="34" spans="1:14" hidden="1" x14ac:dyDescent="0.25">
      <c r="A34" s="1"/>
      <c r="B34" s="15" t="s">
        <v>19</v>
      </c>
      <c r="C34" s="15" t="s">
        <v>71</v>
      </c>
      <c r="D34" s="15" t="s">
        <v>72</v>
      </c>
      <c r="E34" s="16" t="s">
        <v>26</v>
      </c>
      <c r="F34" s="17"/>
      <c r="G34" cm="1">
        <f t="array" ref="G34">IFERROR(_xlfn.XLOOKUP(Pedido891011121412131617181921192223[[#This Row],[Id de Producto]],[1]!Precios[[#All],[Id de Producto]],[1]!Precios[[#All],[Coste estándar]])*Pedido891011121412131617181921192223[[#This Row],[Pedido]],0)</f>
        <v>0</v>
      </c>
      <c r="H34" s="15">
        <v>0</v>
      </c>
      <c r="I34" s="15" t="s">
        <v>23</v>
      </c>
      <c r="J34" s="1"/>
      <c r="K34" s="1"/>
      <c r="L34" s="1"/>
      <c r="M34" s="1"/>
      <c r="N34" s="1"/>
    </row>
    <row r="35" spans="1:14" hidden="1" x14ac:dyDescent="0.25">
      <c r="A35" s="1"/>
      <c r="B35" s="15" t="s">
        <v>19</v>
      </c>
      <c r="C35" s="15" t="s">
        <v>73</v>
      </c>
      <c r="D35" s="15" t="s">
        <v>74</v>
      </c>
      <c r="E35" s="16" t="s">
        <v>26</v>
      </c>
      <c r="F35" s="17"/>
      <c r="G35" cm="1">
        <f t="array" ref="G35">IFERROR(_xlfn.XLOOKUP(Pedido891011121412131617181921192223[[#This Row],[Id de Producto]],[1]!Precios[[#All],[Id de Producto]],[1]!Precios[[#All],[Coste estándar]])*Pedido891011121412131617181921192223[[#This Row],[Pedido]],0)</f>
        <v>0</v>
      </c>
      <c r="H35" s="15">
        <v>0</v>
      </c>
      <c r="I35" s="15" t="s">
        <v>23</v>
      </c>
      <c r="J35" s="1"/>
      <c r="K35" s="1"/>
      <c r="L35" s="1"/>
      <c r="M35" s="1"/>
      <c r="N35" s="1"/>
    </row>
    <row r="36" spans="1:14" hidden="1" x14ac:dyDescent="0.25">
      <c r="A36" s="1"/>
      <c r="B36" s="16" t="s">
        <v>75</v>
      </c>
      <c r="C36" s="15" t="s">
        <v>76</v>
      </c>
      <c r="D36" s="15" t="s">
        <v>77</v>
      </c>
      <c r="E36" s="16" t="s">
        <v>26</v>
      </c>
      <c r="F36" s="17"/>
      <c r="G36" cm="1">
        <f t="array" ref="G36">IFERROR(_xlfn.XLOOKUP(Pedido891011121412131617181921192223[[#This Row],[Id de Producto]],[1]!Precios[[#All],[Id de Producto]],[1]!Precios[[#All],[Coste estándar]])*Pedido891011121412131617181921192223[[#This Row],[Pedido]],0)</f>
        <v>0</v>
      </c>
      <c r="H36" s="18">
        <v>0</v>
      </c>
      <c r="I36" s="15" t="s">
        <v>23</v>
      </c>
      <c r="J36" s="1"/>
      <c r="K36" s="1"/>
      <c r="L36" s="1"/>
      <c r="M36" s="1"/>
      <c r="N36" s="1"/>
    </row>
    <row r="37" spans="1:14" hidden="1" x14ac:dyDescent="0.25">
      <c r="A37" s="1"/>
      <c r="B37" s="15" t="s">
        <v>75</v>
      </c>
      <c r="C37" s="15" t="s">
        <v>78</v>
      </c>
      <c r="D37" s="15" t="s">
        <v>79</v>
      </c>
      <c r="E37" s="16" t="s">
        <v>26</v>
      </c>
      <c r="F37" s="17"/>
      <c r="G37" cm="1">
        <f t="array" ref="G37">IFERROR(_xlfn.XLOOKUP(Pedido891011121412131617181921192223[[#This Row],[Id de Producto]],[1]!Precios[[#All],[Id de Producto]],[1]!Precios[[#All],[Coste estándar]])*Pedido891011121412131617181921192223[[#This Row],[Pedido]],0)</f>
        <v>0</v>
      </c>
      <c r="H37" s="15">
        <v>0</v>
      </c>
      <c r="I37" s="15" t="s">
        <v>23</v>
      </c>
      <c r="J37" s="1"/>
      <c r="K37" s="1"/>
      <c r="L37" s="1"/>
      <c r="M37" s="1"/>
      <c r="N37" s="1"/>
    </row>
    <row r="38" spans="1:14" hidden="1" x14ac:dyDescent="0.25">
      <c r="A38" s="1"/>
      <c r="B38" s="16" t="s">
        <v>75</v>
      </c>
      <c r="C38" s="15" t="s">
        <v>80</v>
      </c>
      <c r="D38" s="15" t="s">
        <v>81</v>
      </c>
      <c r="E38" s="16" t="s">
        <v>26</v>
      </c>
      <c r="F38" s="17"/>
      <c r="G38" cm="1">
        <f t="array" ref="G38">IFERROR(_xlfn.XLOOKUP(Pedido891011121412131617181921192223[[#This Row],[Id de Producto]],[1]!Precios[[#All],[Id de Producto]],[1]!Precios[[#All],[Coste estándar]])*Pedido891011121412131617181921192223[[#This Row],[Pedido]],0)</f>
        <v>0</v>
      </c>
      <c r="H38" s="18">
        <v>0</v>
      </c>
      <c r="I38" s="15" t="s">
        <v>23</v>
      </c>
      <c r="J38" s="1"/>
      <c r="K38" s="1"/>
      <c r="L38" s="1"/>
      <c r="M38" s="1"/>
      <c r="N38" s="1"/>
    </row>
    <row r="39" spans="1:14" hidden="1" x14ac:dyDescent="0.25">
      <c r="A39" s="1"/>
      <c r="B39" s="16" t="s">
        <v>75</v>
      </c>
      <c r="C39" s="15" t="s">
        <v>82</v>
      </c>
      <c r="D39" s="15" t="s">
        <v>83</v>
      </c>
      <c r="E39" s="16" t="s">
        <v>26</v>
      </c>
      <c r="F39" s="17"/>
      <c r="G39" cm="1">
        <f t="array" ref="G39">IFERROR(_xlfn.XLOOKUP(Pedido891011121412131617181921192223[[#This Row],[Id de Producto]],[1]!Precios[[#All],[Id de Producto]],[1]!Precios[[#All],[Coste estándar]])*Pedido891011121412131617181921192223[[#This Row],[Pedido]],0)</f>
        <v>0</v>
      </c>
      <c r="H39" s="18">
        <v>0</v>
      </c>
      <c r="I39" s="15" t="s">
        <v>23</v>
      </c>
      <c r="J39" s="1"/>
      <c r="K39" s="1"/>
      <c r="L39" s="1"/>
      <c r="M39" s="1"/>
      <c r="N39" s="1"/>
    </row>
    <row r="40" spans="1:14" hidden="1" x14ac:dyDescent="0.25">
      <c r="A40" s="1"/>
      <c r="B40" s="15" t="s">
        <v>75</v>
      </c>
      <c r="C40" s="15" t="s">
        <v>84</v>
      </c>
      <c r="D40" s="15" t="s">
        <v>85</v>
      </c>
      <c r="E40" s="16" t="s">
        <v>26</v>
      </c>
      <c r="F40" s="17"/>
      <c r="G40" cm="1">
        <f t="array" ref="G40">IFERROR(_xlfn.XLOOKUP(Pedido891011121412131617181921192223[[#This Row],[Id de Producto]],[1]!Precios[[#All],[Id de Producto]],[1]!Precios[[#All],[Coste estándar]])*Pedido891011121412131617181921192223[[#This Row],[Pedido]],0)</f>
        <v>0</v>
      </c>
      <c r="H40" s="15">
        <v>0</v>
      </c>
      <c r="I40" s="15" t="s">
        <v>23</v>
      </c>
      <c r="J40" s="1"/>
      <c r="K40" s="1"/>
      <c r="L40" s="1"/>
      <c r="M40" s="1"/>
      <c r="N40" s="1"/>
    </row>
    <row r="41" spans="1:14" hidden="1" x14ac:dyDescent="0.25">
      <c r="A41" s="1"/>
      <c r="B41" s="15" t="s">
        <v>75</v>
      </c>
      <c r="C41" s="15" t="s">
        <v>86</v>
      </c>
      <c r="D41" s="15" t="s">
        <v>87</v>
      </c>
      <c r="E41" s="16" t="s">
        <v>26</v>
      </c>
      <c r="F41" s="17"/>
      <c r="G41" cm="1">
        <f t="array" ref="G41">IFERROR(_xlfn.XLOOKUP(Pedido891011121412131617181921192223[[#This Row],[Id de Producto]],[1]!Precios[[#All],[Id de Producto]],[1]!Precios[[#All],[Coste estándar]])*Pedido891011121412131617181921192223[[#This Row],[Pedido]],0)</f>
        <v>0</v>
      </c>
      <c r="H41" s="15">
        <v>0</v>
      </c>
      <c r="I41" s="15" t="s">
        <v>23</v>
      </c>
      <c r="J41" s="1"/>
      <c r="K41" s="1"/>
      <c r="L41" s="1"/>
      <c r="M41" s="1"/>
      <c r="N41" s="1"/>
    </row>
    <row r="42" spans="1:14" hidden="1" x14ac:dyDescent="0.25">
      <c r="A42" s="1"/>
      <c r="B42" s="16" t="s">
        <v>75</v>
      </c>
      <c r="C42" s="15" t="s">
        <v>88</v>
      </c>
      <c r="D42" s="15" t="s">
        <v>89</v>
      </c>
      <c r="E42" s="16" t="s">
        <v>26</v>
      </c>
      <c r="F42" s="17"/>
      <c r="G42" cm="1">
        <f t="array" ref="G42">IFERROR(_xlfn.XLOOKUP(Pedido891011121412131617181921192223[[#This Row],[Id de Producto]],[1]!Precios[[#All],[Id de Producto]],[1]!Precios[[#All],[Coste estándar]])*Pedido891011121412131617181921192223[[#This Row],[Pedido]],0)</f>
        <v>0</v>
      </c>
      <c r="H42" s="18">
        <v>1</v>
      </c>
      <c r="I42" s="15" t="s">
        <v>23</v>
      </c>
      <c r="J42" s="1"/>
      <c r="K42" s="1"/>
      <c r="L42" s="1"/>
      <c r="M42" s="1"/>
      <c r="N42" s="1"/>
    </row>
    <row r="43" spans="1:14" hidden="1" x14ac:dyDescent="0.25">
      <c r="A43" s="1"/>
      <c r="B43" s="16" t="s">
        <v>75</v>
      </c>
      <c r="C43" s="15" t="s">
        <v>90</v>
      </c>
      <c r="D43" s="15" t="s">
        <v>91</v>
      </c>
      <c r="E43" s="16" t="s">
        <v>26</v>
      </c>
      <c r="F43" s="17"/>
      <c r="G43" cm="1">
        <f t="array" ref="G43">IFERROR(_xlfn.XLOOKUP(Pedido891011121412131617181921192223[[#This Row],[Id de Producto]],[1]!Precios[[#All],[Id de Producto]],[1]!Precios[[#All],[Coste estándar]])*Pedido891011121412131617181921192223[[#This Row],[Pedido]],0)</f>
        <v>0</v>
      </c>
      <c r="H43" s="18">
        <v>0</v>
      </c>
      <c r="I43" s="15" t="s">
        <v>23</v>
      </c>
      <c r="J43" s="1"/>
      <c r="K43" s="1"/>
      <c r="L43" s="1"/>
      <c r="M43" s="1"/>
      <c r="N43" s="1"/>
    </row>
    <row r="44" spans="1:14" hidden="1" x14ac:dyDescent="0.25">
      <c r="A44" s="1"/>
      <c r="B44" s="16" t="s">
        <v>75</v>
      </c>
      <c r="C44" s="15" t="s">
        <v>92</v>
      </c>
      <c r="D44" s="15" t="s">
        <v>93</v>
      </c>
      <c r="E44" s="16" t="s">
        <v>26</v>
      </c>
      <c r="F44" s="17"/>
      <c r="G44" cm="1">
        <f t="array" ref="G44">IFERROR(_xlfn.XLOOKUP(Pedido891011121412131617181921192223[[#This Row],[Id de Producto]],[1]!Precios[[#All],[Id de Producto]],[1]!Precios[[#All],[Coste estándar]])*Pedido891011121412131617181921192223[[#This Row],[Pedido]],0)</f>
        <v>0</v>
      </c>
      <c r="H44" s="18">
        <v>0</v>
      </c>
      <c r="I44" s="15" t="s">
        <v>23</v>
      </c>
      <c r="J44" s="1"/>
      <c r="K44" s="1"/>
      <c r="L44" s="1"/>
      <c r="M44" s="1"/>
      <c r="N44" s="1"/>
    </row>
    <row r="45" spans="1:14" hidden="1" x14ac:dyDescent="0.25">
      <c r="A45" s="1"/>
      <c r="B45" s="16" t="s">
        <v>75</v>
      </c>
      <c r="C45" s="15" t="s">
        <v>94</v>
      </c>
      <c r="D45" s="15" t="s">
        <v>95</v>
      </c>
      <c r="E45" s="16" t="s">
        <v>26</v>
      </c>
      <c r="F45" s="17"/>
      <c r="G45" cm="1">
        <f t="array" ref="G45">IFERROR(_xlfn.XLOOKUP(Pedido891011121412131617181921192223[[#This Row],[Id de Producto]],[1]!Precios[[#All],[Id de Producto]],[1]!Precios[[#All],[Coste estándar]])*Pedido891011121412131617181921192223[[#This Row],[Pedido]],0)</f>
        <v>0</v>
      </c>
      <c r="H45" s="18">
        <v>0</v>
      </c>
      <c r="I45" s="15" t="s">
        <v>23</v>
      </c>
      <c r="J45" s="1"/>
      <c r="K45" s="1"/>
      <c r="L45" s="1"/>
      <c r="M45" s="1"/>
      <c r="N45" s="1"/>
    </row>
    <row r="46" spans="1:14" hidden="1" x14ac:dyDescent="0.25">
      <c r="A46" s="1"/>
      <c r="B46" s="16" t="s">
        <v>75</v>
      </c>
      <c r="C46" s="15" t="s">
        <v>96</v>
      </c>
      <c r="D46" s="15" t="s">
        <v>97</v>
      </c>
      <c r="E46" s="16" t="s">
        <v>22</v>
      </c>
      <c r="F46" s="17"/>
      <c r="G46" cm="1">
        <f t="array" ref="G46">IFERROR(_xlfn.XLOOKUP(Pedido891011121412131617181921192223[[#This Row],[Id de Producto]],[1]!Precios[[#All],[Id de Producto]],[1]!Precios[[#All],[Coste estándar]])*Pedido891011121412131617181921192223[[#This Row],[Pedido]],0)</f>
        <v>0</v>
      </c>
      <c r="H46" s="18">
        <v>0</v>
      </c>
      <c r="I46" s="15" t="s">
        <v>23</v>
      </c>
      <c r="J46" s="1"/>
      <c r="K46" s="1"/>
      <c r="L46" s="1"/>
      <c r="M46" s="1"/>
      <c r="N46" s="1"/>
    </row>
    <row r="47" spans="1:14" hidden="1" x14ac:dyDescent="0.25">
      <c r="A47" s="1"/>
      <c r="B47" s="16" t="s">
        <v>75</v>
      </c>
      <c r="C47" s="15" t="s">
        <v>98</v>
      </c>
      <c r="D47" s="15" t="s">
        <v>99</v>
      </c>
      <c r="E47" s="16" t="s">
        <v>22</v>
      </c>
      <c r="F47" s="17"/>
      <c r="G47" cm="1">
        <f t="array" ref="G47">IFERROR(_xlfn.XLOOKUP(Pedido891011121412131617181921192223[[#This Row],[Id de Producto]],[1]!Precios[[#All],[Id de Producto]],[1]!Precios[[#All],[Coste estándar]])*Pedido891011121412131617181921192223[[#This Row],[Pedido]],0)</f>
        <v>0</v>
      </c>
      <c r="H47" s="18">
        <v>0</v>
      </c>
      <c r="I47" s="15" t="s">
        <v>23</v>
      </c>
      <c r="J47" s="1"/>
      <c r="K47" s="1"/>
      <c r="L47" s="1"/>
      <c r="M47" s="1"/>
      <c r="N47" s="1"/>
    </row>
    <row r="48" spans="1:14" hidden="1" x14ac:dyDescent="0.25">
      <c r="A48" s="1"/>
      <c r="B48" s="16" t="s">
        <v>75</v>
      </c>
      <c r="C48" s="15" t="s">
        <v>100</v>
      </c>
      <c r="D48" s="15" t="s">
        <v>101</v>
      </c>
      <c r="E48" s="16" t="s">
        <v>26</v>
      </c>
      <c r="F48" s="17"/>
      <c r="G48" cm="1">
        <f t="array" ref="G48">IFERROR(_xlfn.XLOOKUP(Pedido891011121412131617181921192223[[#This Row],[Id de Producto]],[1]!Precios[[#All],[Id de Producto]],[1]!Precios[[#All],[Coste estándar]])*Pedido891011121412131617181921192223[[#This Row],[Pedido]],0)</f>
        <v>0</v>
      </c>
      <c r="H48" s="18">
        <v>0</v>
      </c>
      <c r="I48" s="15" t="s">
        <v>23</v>
      </c>
      <c r="J48" s="1"/>
      <c r="K48" s="1"/>
      <c r="L48" s="1"/>
      <c r="M48" s="1"/>
      <c r="N48" s="1"/>
    </row>
    <row r="49" spans="1:14" hidden="1" x14ac:dyDescent="0.25">
      <c r="A49" s="1"/>
      <c r="B49" s="15" t="s">
        <v>102</v>
      </c>
      <c r="C49" s="15" t="s">
        <v>103</v>
      </c>
      <c r="D49" s="15" t="s">
        <v>104</v>
      </c>
      <c r="E49" s="15" t="s">
        <v>18</v>
      </c>
      <c r="F49" s="17"/>
      <c r="G49" cm="1">
        <f t="array" ref="G49">IFERROR(_xlfn.XLOOKUP(Pedido891011121412131617181921192223[[#This Row],[Id de Producto]],[1]!Precios[[#All],[Id de Producto]],[1]!Precios[[#All],[Coste estándar]])*Pedido891011121412131617181921192223[[#This Row],[Pedido]],0)</f>
        <v>0</v>
      </c>
      <c r="H49" s="18">
        <v>0</v>
      </c>
      <c r="I49" s="16" t="s">
        <v>102</v>
      </c>
      <c r="J49" s="1"/>
      <c r="K49" s="1"/>
      <c r="L49" s="1"/>
      <c r="M49" s="1"/>
      <c r="N49" s="1"/>
    </row>
    <row r="50" spans="1:14" hidden="1" x14ac:dyDescent="0.25">
      <c r="A50" s="1"/>
      <c r="B50" s="15" t="s">
        <v>105</v>
      </c>
      <c r="C50" s="15" t="s">
        <v>106</v>
      </c>
      <c r="D50" s="15" t="s">
        <v>107</v>
      </c>
      <c r="E50" s="15" t="s">
        <v>108</v>
      </c>
      <c r="F50" s="17"/>
      <c r="G50" cm="1">
        <f t="array" ref="G50">IFERROR(_xlfn.XLOOKUP(Pedido891011121412131617181921192223[[#This Row],[Id de Producto]],[1]!Precios[[#All],[Id de Producto]],[1]!Precios[[#All],[Coste estándar]])*Pedido891011121412131617181921192223[[#This Row],[Pedido]],0)</f>
        <v>0</v>
      </c>
      <c r="H50" s="15">
        <v>0</v>
      </c>
      <c r="I50" s="15" t="s">
        <v>105</v>
      </c>
      <c r="J50" s="1"/>
      <c r="K50" s="1"/>
      <c r="L50" s="1"/>
      <c r="M50" s="1"/>
      <c r="N50" s="1"/>
    </row>
    <row r="51" spans="1:14" hidden="1" x14ac:dyDescent="0.25">
      <c r="A51" s="1"/>
      <c r="B51" s="15" t="s">
        <v>105</v>
      </c>
      <c r="C51" s="15" t="s">
        <v>109</v>
      </c>
      <c r="D51" t="s">
        <v>110</v>
      </c>
      <c r="E51" s="15" t="s">
        <v>108</v>
      </c>
      <c r="F51" s="17"/>
      <c r="G51" cm="1">
        <f t="array" ref="G51">IFERROR(_xlfn.XLOOKUP(Pedido891011121412131617181921192223[[#This Row],[Id de Producto]],[1]!Precios[[#All],[Id de Producto]],[1]!Precios[[#All],[Coste estándar]])*Pedido891011121412131617181921192223[[#This Row],[Pedido]],0)</f>
        <v>0</v>
      </c>
      <c r="H51" s="15">
        <v>0</v>
      </c>
      <c r="I51" s="15" t="s">
        <v>105</v>
      </c>
      <c r="J51" s="1"/>
      <c r="K51" s="1"/>
      <c r="L51" s="1"/>
      <c r="M51" s="1"/>
      <c r="N51" s="1"/>
    </row>
    <row r="52" spans="1:14" hidden="1" x14ac:dyDescent="0.25">
      <c r="A52" s="1"/>
      <c r="B52" s="16" t="s">
        <v>105</v>
      </c>
      <c r="C52" s="15" t="s">
        <v>111</v>
      </c>
      <c r="D52" s="15" t="s">
        <v>112</v>
      </c>
      <c r="E52" s="16" t="s">
        <v>108</v>
      </c>
      <c r="F52" s="17"/>
      <c r="G52" cm="1">
        <f t="array" ref="G52">IFERROR(_xlfn.XLOOKUP(Pedido891011121412131617181921192223[[#This Row],[Id de Producto]],[1]!Precios[[#All],[Id de Producto]],[1]!Precios[[#All],[Coste estándar]])*Pedido891011121412131617181921192223[[#This Row],[Pedido]],0)</f>
        <v>0</v>
      </c>
      <c r="H52" s="18">
        <v>0</v>
      </c>
      <c r="I52" s="16" t="s">
        <v>105</v>
      </c>
      <c r="J52" s="1"/>
      <c r="K52" s="1"/>
      <c r="L52" s="1"/>
      <c r="M52" s="1"/>
      <c r="N52" s="1"/>
    </row>
    <row r="53" spans="1:14" hidden="1" x14ac:dyDescent="0.25">
      <c r="A53" s="1"/>
      <c r="B53" s="15" t="s">
        <v>105</v>
      </c>
      <c r="C53" s="15" t="s">
        <v>113</v>
      </c>
      <c r="D53" s="15" t="s">
        <v>114</v>
      </c>
      <c r="E53" s="15" t="s">
        <v>108</v>
      </c>
      <c r="F53" s="17"/>
      <c r="G53" cm="1">
        <f t="array" ref="G53">IFERROR(_xlfn.XLOOKUP(Pedido891011121412131617181921192223[[#This Row],[Id de Producto]],[1]!Precios[[#All],[Id de Producto]],[1]!Precios[[#All],[Coste estándar]])*Pedido891011121412131617181921192223[[#This Row],[Pedido]],0)</f>
        <v>0</v>
      </c>
      <c r="H53" s="18">
        <v>0</v>
      </c>
      <c r="I53" s="16" t="s">
        <v>105</v>
      </c>
      <c r="J53" s="1"/>
      <c r="K53" s="1"/>
      <c r="L53" s="1"/>
      <c r="M53" s="1"/>
      <c r="N53" s="1"/>
    </row>
    <row r="54" spans="1:14" hidden="1" x14ac:dyDescent="0.25">
      <c r="A54" s="1"/>
      <c r="B54" s="16" t="s">
        <v>105</v>
      </c>
      <c r="C54" s="15" t="s">
        <v>115</v>
      </c>
      <c r="D54" s="15" t="s">
        <v>116</v>
      </c>
      <c r="E54" s="16" t="s">
        <v>108</v>
      </c>
      <c r="F54" s="17"/>
      <c r="G54" cm="1">
        <f t="array" ref="G54">IFERROR(_xlfn.XLOOKUP(Pedido891011121412131617181921192223[[#This Row],[Id de Producto]],[1]!Precios[[#All],[Id de Producto]],[1]!Precios[[#All],[Coste estándar]])*Pedido891011121412131617181921192223[[#This Row],[Pedido]],0)</f>
        <v>0</v>
      </c>
      <c r="H54" s="18">
        <v>1</v>
      </c>
      <c r="I54" s="16" t="s">
        <v>105</v>
      </c>
      <c r="J54" s="1"/>
      <c r="K54" s="1"/>
      <c r="L54" s="1"/>
      <c r="M54" s="1"/>
      <c r="N54" s="1"/>
    </row>
    <row r="55" spans="1:14" hidden="1" x14ac:dyDescent="0.25">
      <c r="A55" s="1"/>
      <c r="B55" s="16" t="s">
        <v>117</v>
      </c>
      <c r="C55" s="15" t="s">
        <v>118</v>
      </c>
      <c r="D55" s="15" t="s">
        <v>119</v>
      </c>
      <c r="E55" s="16" t="s">
        <v>120</v>
      </c>
      <c r="F55" s="17"/>
      <c r="G55" cm="1">
        <f t="array" ref="G55">IFERROR(_xlfn.XLOOKUP(Pedido891011121412131617181921192223[[#This Row],[Id de Producto]],[1]!Precios[[#All],[Id de Producto]],[1]!Precios[[#All],[Coste estándar]])*Pedido891011121412131617181921192223[[#This Row],[Pedido]],0)</f>
        <v>0</v>
      </c>
      <c r="H55" s="18">
        <v>1</v>
      </c>
      <c r="I55" s="16" t="s">
        <v>117</v>
      </c>
      <c r="J55" s="1"/>
      <c r="K55" s="1"/>
      <c r="L55" s="1"/>
      <c r="M55" s="1"/>
      <c r="N55" s="1"/>
    </row>
    <row r="56" spans="1:14" hidden="1" x14ac:dyDescent="0.25">
      <c r="A56" s="1"/>
      <c r="B56" s="15" t="s">
        <v>121</v>
      </c>
      <c r="C56" s="15" t="s">
        <v>122</v>
      </c>
      <c r="D56" s="15" t="s">
        <v>123</v>
      </c>
      <c r="E56" s="15" t="s">
        <v>26</v>
      </c>
      <c r="F56" s="17"/>
      <c r="G56" cm="1">
        <f t="array" ref="G56">IFERROR(_xlfn.XLOOKUP(Pedido891011121412131617181921192223[[#This Row],[Id de Producto]],[1]!Precios[[#All],[Id de Producto]],[1]!Precios[[#All],[Coste estándar]])*Pedido891011121412131617181921192223[[#This Row],[Pedido]],0)</f>
        <v>0</v>
      </c>
      <c r="H56" s="18">
        <v>1</v>
      </c>
      <c r="I56" s="15" t="s">
        <v>121</v>
      </c>
      <c r="J56" s="1"/>
      <c r="K56" s="1"/>
      <c r="L56" s="1"/>
      <c r="M56" s="1"/>
      <c r="N56" s="1"/>
    </row>
    <row r="57" spans="1:14" hidden="1" x14ac:dyDescent="0.25">
      <c r="A57" s="1"/>
      <c r="B57" s="16" t="s">
        <v>121</v>
      </c>
      <c r="C57" s="15" t="s">
        <v>124</v>
      </c>
      <c r="D57" s="15" t="s">
        <v>125</v>
      </c>
      <c r="E57" s="16" t="s">
        <v>22</v>
      </c>
      <c r="F57" s="17"/>
      <c r="G57" cm="1">
        <f t="array" ref="G57">IFERROR(_xlfn.XLOOKUP(Pedido891011121412131617181921192223[[#This Row],[Id de Producto]],[1]!Precios[[#All],[Id de Producto]],[1]!Precios[[#All],[Coste estándar]])*Pedido891011121412131617181921192223[[#This Row],[Pedido]],0)</f>
        <v>0</v>
      </c>
      <c r="H57" s="18">
        <v>1</v>
      </c>
      <c r="I57" s="15" t="s">
        <v>121</v>
      </c>
      <c r="J57" s="1"/>
      <c r="K57" s="1"/>
      <c r="L57" s="1"/>
      <c r="M57" s="1"/>
      <c r="N57" s="1"/>
    </row>
    <row r="58" spans="1:14" hidden="1" x14ac:dyDescent="0.25">
      <c r="A58" s="1"/>
      <c r="B58" s="15" t="s">
        <v>121</v>
      </c>
      <c r="C58" s="15" t="s">
        <v>126</v>
      </c>
      <c r="D58" s="15" t="s">
        <v>127</v>
      </c>
      <c r="E58" s="16" t="s">
        <v>22</v>
      </c>
      <c r="F58" s="17"/>
      <c r="G58" cm="1">
        <f t="array" ref="G58">IFERROR(_xlfn.XLOOKUP(Pedido891011121412131617181921192223[[#This Row],[Id de Producto]],[1]!Precios[[#All],[Id de Producto]],[1]!Precios[[#All],[Coste estándar]])*Pedido891011121412131617181921192223[[#This Row],[Pedido]],0)</f>
        <v>0</v>
      </c>
      <c r="H58" s="18">
        <v>1</v>
      </c>
      <c r="I58" s="15" t="s">
        <v>121</v>
      </c>
      <c r="J58" s="1"/>
      <c r="K58" s="1"/>
      <c r="L58" s="1"/>
      <c r="M58" s="1"/>
      <c r="N58" s="1"/>
    </row>
    <row r="59" spans="1:14" hidden="1" x14ac:dyDescent="0.25">
      <c r="A59" s="1"/>
      <c r="B59" s="16" t="s">
        <v>121</v>
      </c>
      <c r="C59" s="15" t="s">
        <v>128</v>
      </c>
      <c r="D59" s="15" t="s">
        <v>129</v>
      </c>
      <c r="E59" s="16" t="s">
        <v>26</v>
      </c>
      <c r="F59" s="17"/>
      <c r="G59" cm="1">
        <f t="array" ref="G59">IFERROR(_xlfn.XLOOKUP(Pedido891011121412131617181921192223[[#This Row],[Id de Producto]],[1]!Precios[[#All],[Id de Producto]],[1]!Precios[[#All],[Coste estándar]])*Pedido891011121412131617181921192223[[#This Row],[Pedido]],0)</f>
        <v>0</v>
      </c>
      <c r="H59" s="18">
        <v>1</v>
      </c>
      <c r="I59" s="15" t="s">
        <v>121</v>
      </c>
      <c r="J59" s="1"/>
      <c r="K59" s="1"/>
      <c r="L59" s="1"/>
      <c r="M59" s="1"/>
      <c r="N59" s="1"/>
    </row>
    <row r="60" spans="1:14" hidden="1" x14ac:dyDescent="0.25">
      <c r="A60" s="1"/>
      <c r="B60" s="16" t="s">
        <v>121</v>
      </c>
      <c r="C60" s="15" t="s">
        <v>130</v>
      </c>
      <c r="D60" s="15" t="s">
        <v>131</v>
      </c>
      <c r="E60" s="16" t="s">
        <v>26</v>
      </c>
      <c r="F60" s="17"/>
      <c r="G60" cm="1">
        <f t="array" ref="G60">IFERROR(_xlfn.XLOOKUP(Pedido891011121412131617181921192223[[#This Row],[Id de Producto]],[1]!Precios[[#All],[Id de Producto]],[1]!Precios[[#All],[Coste estándar]])*Pedido891011121412131617181921192223[[#This Row],[Pedido]],0)</f>
        <v>0</v>
      </c>
      <c r="H60" s="18">
        <v>1</v>
      </c>
      <c r="I60" s="15" t="s">
        <v>121</v>
      </c>
      <c r="J60" s="1"/>
      <c r="K60" s="1"/>
      <c r="L60" s="1"/>
      <c r="M60" s="1"/>
      <c r="N60" s="1"/>
    </row>
    <row r="61" spans="1:14" hidden="1" x14ac:dyDescent="0.25">
      <c r="A61" s="1"/>
      <c r="B61" s="15" t="s">
        <v>121</v>
      </c>
      <c r="C61" s="15" t="s">
        <v>132</v>
      </c>
      <c r="D61" s="15" t="s">
        <v>133</v>
      </c>
      <c r="E61" s="16" t="s">
        <v>26</v>
      </c>
      <c r="F61" s="17"/>
      <c r="G61" cm="1">
        <f t="array" ref="G61">IFERROR(_xlfn.XLOOKUP(Pedido891011121412131617181921192223[[#This Row],[Id de Producto]],[1]!Precios[[#All],[Id de Producto]],[1]!Precios[[#All],[Coste estándar]])*Pedido891011121412131617181921192223[[#This Row],[Pedido]],0)</f>
        <v>0</v>
      </c>
      <c r="H61" s="18">
        <v>1</v>
      </c>
      <c r="I61" s="15" t="s">
        <v>121</v>
      </c>
      <c r="J61" s="1"/>
      <c r="K61" s="1"/>
      <c r="L61" s="1"/>
      <c r="M61" s="1"/>
      <c r="N61" s="1"/>
    </row>
    <row r="62" spans="1:14" hidden="1" x14ac:dyDescent="0.25">
      <c r="A62" s="1"/>
      <c r="B62" s="16" t="s">
        <v>121</v>
      </c>
      <c r="C62" s="15" t="s">
        <v>134</v>
      </c>
      <c r="D62" s="15" t="s">
        <v>135</v>
      </c>
      <c r="E62" s="16" t="s">
        <v>26</v>
      </c>
      <c r="F62" s="17"/>
      <c r="G62" cm="1">
        <f t="array" ref="G62">IFERROR(_xlfn.XLOOKUP(Pedido891011121412131617181921192223[[#This Row],[Id de Producto]],[1]!Precios[[#All],[Id de Producto]],[1]!Precios[[#All],[Coste estándar]])*Pedido891011121412131617181921192223[[#This Row],[Pedido]],0)</f>
        <v>0</v>
      </c>
      <c r="H62" s="18">
        <v>1</v>
      </c>
      <c r="I62" s="15" t="s">
        <v>121</v>
      </c>
      <c r="J62" s="1"/>
      <c r="K62" s="1"/>
      <c r="L62" s="1"/>
      <c r="M62" s="1"/>
      <c r="N62" s="1"/>
    </row>
    <row r="63" spans="1:14" hidden="1" x14ac:dyDescent="0.25">
      <c r="A63" s="1"/>
      <c r="B63" s="15" t="s">
        <v>121</v>
      </c>
      <c r="C63" s="15" t="s">
        <v>136</v>
      </c>
      <c r="D63" s="15" t="s">
        <v>137</v>
      </c>
      <c r="E63" s="16" t="s">
        <v>26</v>
      </c>
      <c r="F63" s="17"/>
      <c r="G63" cm="1">
        <f t="array" ref="G63">IFERROR(_xlfn.XLOOKUP(Pedido891011121412131617181921192223[[#This Row],[Id de Producto]],[1]!Precios[[#All],[Id de Producto]],[1]!Precios[[#All],[Coste estándar]])*Pedido891011121412131617181921192223[[#This Row],[Pedido]],0)</f>
        <v>0</v>
      </c>
      <c r="H63" s="15">
        <v>1</v>
      </c>
      <c r="I63" s="15" t="s">
        <v>121</v>
      </c>
      <c r="J63" s="1"/>
      <c r="K63" s="1"/>
      <c r="L63" s="1"/>
      <c r="M63" s="1"/>
      <c r="N63" s="1"/>
    </row>
    <row r="64" spans="1:14" hidden="1" x14ac:dyDescent="0.25">
      <c r="A64" s="1"/>
      <c r="B64" s="16" t="s">
        <v>121</v>
      </c>
      <c r="C64" s="15" t="s">
        <v>138</v>
      </c>
      <c r="D64" s="15" t="s">
        <v>139</v>
      </c>
      <c r="E64" s="16" t="s">
        <v>26</v>
      </c>
      <c r="F64" s="17"/>
      <c r="G64" cm="1">
        <f t="array" ref="G64">IFERROR(_xlfn.XLOOKUP(Pedido891011121412131617181921192223[[#This Row],[Id de Producto]],[1]!Precios[[#All],[Id de Producto]],[1]!Precios[[#All],[Coste estándar]])*Pedido891011121412131617181921192223[[#This Row],[Pedido]],0)</f>
        <v>0</v>
      </c>
      <c r="H64" s="18">
        <v>1</v>
      </c>
      <c r="I64" s="15" t="s">
        <v>121</v>
      </c>
      <c r="J64" s="1"/>
      <c r="K64" s="1"/>
      <c r="L64" s="1"/>
      <c r="M64" s="1"/>
      <c r="N64" s="1"/>
    </row>
    <row r="65" spans="1:14" hidden="1" x14ac:dyDescent="0.25">
      <c r="A65" s="1"/>
      <c r="B65" s="16" t="s">
        <v>121</v>
      </c>
      <c r="C65" s="15" t="s">
        <v>140</v>
      </c>
      <c r="D65" s="15" t="s">
        <v>141</v>
      </c>
      <c r="E65" s="16" t="s">
        <v>26</v>
      </c>
      <c r="F65" s="17"/>
      <c r="G65" cm="1">
        <f t="array" ref="G65">IFERROR(_xlfn.XLOOKUP(Pedido891011121412131617181921192223[[#This Row],[Id de Producto]],[1]!Precios[[#All],[Id de Producto]],[1]!Precios[[#All],[Coste estándar]])*Pedido891011121412131617181921192223[[#This Row],[Pedido]],0)</f>
        <v>0</v>
      </c>
      <c r="H65" s="18">
        <v>1</v>
      </c>
      <c r="I65" s="15" t="s">
        <v>121</v>
      </c>
      <c r="J65" s="1"/>
      <c r="K65" s="1"/>
      <c r="L65" s="1"/>
      <c r="M65" s="1"/>
      <c r="N65" s="1"/>
    </row>
    <row r="66" spans="1:14" hidden="1" x14ac:dyDescent="0.25">
      <c r="A66" s="1"/>
      <c r="B66" s="15" t="s">
        <v>121</v>
      </c>
      <c r="C66" s="15" t="s">
        <v>142</v>
      </c>
      <c r="D66" s="15" t="s">
        <v>143</v>
      </c>
      <c r="E66" s="15" t="s">
        <v>26</v>
      </c>
      <c r="F66" s="17"/>
      <c r="G66" cm="1">
        <f t="array" ref="G66">IFERROR(_xlfn.XLOOKUP(Pedido891011121412131617181921192223[[#This Row],[Id de Producto]],[1]!Precios[[#All],[Id de Producto]],[1]!Precios[[#All],[Coste estándar]])*Pedido891011121412131617181921192223[[#This Row],[Pedido]],0)</f>
        <v>0</v>
      </c>
      <c r="H66" s="18">
        <v>1</v>
      </c>
      <c r="I66" s="15" t="s">
        <v>121</v>
      </c>
      <c r="J66" s="1"/>
      <c r="K66" s="1"/>
      <c r="L66" s="1"/>
      <c r="M66" s="1"/>
      <c r="N66" s="1"/>
    </row>
    <row r="67" spans="1:14" hidden="1" x14ac:dyDescent="0.25">
      <c r="A67" s="1"/>
      <c r="B67" s="16" t="s">
        <v>121</v>
      </c>
      <c r="C67" s="16" t="s">
        <v>144</v>
      </c>
      <c r="D67" s="15" t="s">
        <v>145</v>
      </c>
      <c r="E67" s="16" t="s">
        <v>26</v>
      </c>
      <c r="F67" s="17"/>
      <c r="G67" cm="1">
        <f t="array" ref="G67">IFERROR(_xlfn.XLOOKUP(Pedido891011121412131617181921192223[[#This Row],[Id de Producto]],[1]!Precios[[#All],[Id de Producto]],[1]!Precios[[#All],[Coste estándar]])*Pedido891011121412131617181921192223[[#This Row],[Pedido]],0)</f>
        <v>0</v>
      </c>
      <c r="H67" s="18">
        <v>1</v>
      </c>
      <c r="I67" s="15" t="s">
        <v>121</v>
      </c>
      <c r="J67" s="1"/>
      <c r="K67" s="1"/>
      <c r="L67" s="1"/>
      <c r="M67" s="1"/>
      <c r="N67" s="1"/>
    </row>
    <row r="68" spans="1:14" hidden="1" x14ac:dyDescent="0.25">
      <c r="A68" s="1"/>
      <c r="B68" s="16" t="s">
        <v>121</v>
      </c>
      <c r="C68" s="19" t="s">
        <v>146</v>
      </c>
      <c r="D68" s="19" t="s">
        <v>147</v>
      </c>
      <c r="E68" s="19" t="s">
        <v>120</v>
      </c>
      <c r="F68" s="20"/>
      <c r="G68" cm="1">
        <f t="array" ref="G68">IFERROR(_xlfn.XLOOKUP(Pedido891011121412131617181921192223[[#This Row],[Id de Producto]],[1]!Precios[[#All],[Id de Producto]],[1]!Precios[[#All],[Coste estándar]])*Pedido891011121412131617181921192223[[#This Row],[Pedido]],0)</f>
        <v>0</v>
      </c>
      <c r="H68" s="21"/>
      <c r="I68" s="15"/>
      <c r="J68" s="1"/>
      <c r="K68" s="1"/>
      <c r="L68" s="1"/>
      <c r="M68" s="1"/>
      <c r="N68" s="1"/>
    </row>
    <row r="69" spans="1:14" hidden="1" x14ac:dyDescent="0.25">
      <c r="A69" s="1"/>
      <c r="B69" s="16" t="s">
        <v>121</v>
      </c>
      <c r="C69" s="15" t="s">
        <v>148</v>
      </c>
      <c r="D69" s="15" t="s">
        <v>149</v>
      </c>
      <c r="E69" s="16" t="s">
        <v>26</v>
      </c>
      <c r="F69" s="17"/>
      <c r="G69" cm="1">
        <f t="array" ref="G69">IFERROR(_xlfn.XLOOKUP(Pedido891011121412131617181921192223[[#This Row],[Id de Producto]],[1]!Precios[[#All],[Id de Producto]],[1]!Precios[[#All],[Coste estándar]])*Pedido891011121412131617181921192223[[#This Row],[Pedido]],0)</f>
        <v>0</v>
      </c>
      <c r="H69" s="18">
        <v>1</v>
      </c>
      <c r="I69" s="15" t="s">
        <v>121</v>
      </c>
      <c r="J69" s="1"/>
      <c r="K69" s="1"/>
      <c r="L69" s="1"/>
      <c r="M69" s="1"/>
      <c r="N69" s="1"/>
    </row>
    <row r="70" spans="1:14" hidden="1" x14ac:dyDescent="0.25">
      <c r="A70" s="1"/>
      <c r="B70" s="16" t="s">
        <v>121</v>
      </c>
      <c r="C70" s="15" t="s">
        <v>150</v>
      </c>
      <c r="D70" s="15" t="s">
        <v>151</v>
      </c>
      <c r="E70" s="16" t="s">
        <v>26</v>
      </c>
      <c r="F70" s="17"/>
      <c r="G70" cm="1">
        <f t="array" ref="G70">IFERROR(_xlfn.XLOOKUP(Pedido891011121412131617181921192223[[#This Row],[Id de Producto]],[1]!Precios[[#All],[Id de Producto]],[1]!Precios[[#All],[Coste estándar]])*Pedido891011121412131617181921192223[[#This Row],[Pedido]],0)</f>
        <v>0</v>
      </c>
      <c r="H70" s="18">
        <v>1</v>
      </c>
      <c r="I70" s="15" t="s">
        <v>121</v>
      </c>
      <c r="J70" s="1"/>
      <c r="K70" s="1"/>
      <c r="L70" s="1"/>
      <c r="M70" s="1"/>
      <c r="N70" s="1"/>
    </row>
    <row r="71" spans="1:14" hidden="1" x14ac:dyDescent="0.25">
      <c r="A71" s="1"/>
      <c r="B71" s="16" t="s">
        <v>121</v>
      </c>
      <c r="C71" s="15" t="s">
        <v>152</v>
      </c>
      <c r="D71" s="15" t="s">
        <v>153</v>
      </c>
      <c r="E71" s="16" t="s">
        <v>22</v>
      </c>
      <c r="F71" s="17"/>
      <c r="G71" cm="1">
        <f t="array" ref="G71">IFERROR(_xlfn.XLOOKUP(Pedido891011121412131617181921192223[[#This Row],[Id de Producto]],[1]!Precios[[#All],[Id de Producto]],[1]!Precios[[#All],[Coste estándar]])*Pedido891011121412131617181921192223[[#This Row],[Pedido]],0)</f>
        <v>0</v>
      </c>
      <c r="H71" s="18">
        <v>1</v>
      </c>
      <c r="I71" s="15" t="s">
        <v>121</v>
      </c>
      <c r="J71" s="1"/>
      <c r="K71" s="1"/>
      <c r="L71" s="1"/>
      <c r="M71" s="1"/>
      <c r="N71" s="1"/>
    </row>
    <row r="72" spans="1:14" hidden="1" x14ac:dyDescent="0.25">
      <c r="A72" s="1"/>
      <c r="B72" s="16" t="s">
        <v>121</v>
      </c>
      <c r="C72" s="15" t="s">
        <v>154</v>
      </c>
      <c r="D72" s="15" t="s">
        <v>155</v>
      </c>
      <c r="E72" s="16" t="s">
        <v>22</v>
      </c>
      <c r="F72" s="17"/>
      <c r="G72" cm="1">
        <f t="array" ref="G72">IFERROR(_xlfn.XLOOKUP(Pedido891011121412131617181921192223[[#This Row],[Id de Producto]],[1]!Precios[[#All],[Id de Producto]],[1]!Precios[[#All],[Coste estándar]])*Pedido891011121412131617181921192223[[#This Row],[Pedido]],0)</f>
        <v>0</v>
      </c>
      <c r="H72" s="18">
        <v>1</v>
      </c>
      <c r="I72" s="15" t="s">
        <v>121</v>
      </c>
      <c r="J72" s="1"/>
      <c r="K72" s="1"/>
      <c r="L72" s="1"/>
      <c r="M72" s="1"/>
      <c r="N72" s="1"/>
    </row>
    <row r="73" spans="1:14" hidden="1" x14ac:dyDescent="0.25">
      <c r="A73" s="1"/>
      <c r="B73" s="16" t="s">
        <v>121</v>
      </c>
      <c r="C73" s="15" t="s">
        <v>156</v>
      </c>
      <c r="D73" s="15" t="s">
        <v>157</v>
      </c>
      <c r="E73" s="16" t="s">
        <v>26</v>
      </c>
      <c r="F73" s="17"/>
      <c r="G73" cm="1">
        <f t="array" ref="G73">IFERROR(_xlfn.XLOOKUP(Pedido891011121412131617181921192223[[#This Row],[Id de Producto]],[1]!Precios[[#All],[Id de Producto]],[1]!Precios[[#All],[Coste estándar]])*Pedido891011121412131617181921192223[[#This Row],[Pedido]],0)</f>
        <v>0</v>
      </c>
      <c r="H73" s="18">
        <v>1</v>
      </c>
      <c r="I73" s="15" t="s">
        <v>121</v>
      </c>
      <c r="J73" s="1"/>
      <c r="K73" s="1"/>
      <c r="L73" s="1"/>
      <c r="M73" s="1"/>
      <c r="N73" s="1"/>
    </row>
    <row r="74" spans="1:14" hidden="1" x14ac:dyDescent="0.25">
      <c r="A74" s="1"/>
      <c r="B74" s="16" t="s">
        <v>121</v>
      </c>
      <c r="C74" s="15" t="s">
        <v>158</v>
      </c>
      <c r="D74" s="15" t="s">
        <v>159</v>
      </c>
      <c r="E74" s="16" t="s">
        <v>26</v>
      </c>
      <c r="F74" s="17"/>
      <c r="G74" cm="1">
        <f t="array" ref="G74">IFERROR(_xlfn.XLOOKUP(Pedido891011121412131617181921192223[[#This Row],[Id de Producto]],[1]!Precios[[#All],[Id de Producto]],[1]!Precios[[#All],[Coste estándar]])*Pedido891011121412131617181921192223[[#This Row],[Pedido]],0)</f>
        <v>0</v>
      </c>
      <c r="H74" s="18">
        <v>1</v>
      </c>
      <c r="I74" s="15" t="s">
        <v>121</v>
      </c>
      <c r="J74" s="1"/>
      <c r="K74" s="1"/>
      <c r="L74" s="1"/>
      <c r="M74" s="1"/>
      <c r="N74" s="1"/>
    </row>
    <row r="75" spans="1:14" hidden="1" x14ac:dyDescent="0.25">
      <c r="A75" s="1"/>
      <c r="B75" s="16" t="s">
        <v>121</v>
      </c>
      <c r="C75" s="15" t="s">
        <v>160</v>
      </c>
      <c r="D75" s="15" t="s">
        <v>161</v>
      </c>
      <c r="E75" s="16" t="s">
        <v>26</v>
      </c>
      <c r="F75" s="17"/>
      <c r="G75" cm="1">
        <f t="array" ref="G75">IFERROR(_xlfn.XLOOKUP(Pedido891011121412131617181921192223[[#This Row],[Id de Producto]],[1]!Precios[[#All],[Id de Producto]],[1]!Precios[[#All],[Coste estándar]])*Pedido891011121412131617181921192223[[#This Row],[Pedido]],0)</f>
        <v>0</v>
      </c>
      <c r="H75" s="18">
        <v>1</v>
      </c>
      <c r="I75" s="15" t="s">
        <v>121</v>
      </c>
      <c r="J75" s="1"/>
      <c r="K75" s="1"/>
      <c r="L75" s="1"/>
      <c r="M75" s="1"/>
      <c r="N75" s="1"/>
    </row>
    <row r="76" spans="1:14" hidden="1" x14ac:dyDescent="0.25">
      <c r="A76" s="1"/>
      <c r="B76" s="16" t="s">
        <v>121</v>
      </c>
      <c r="C76" s="15" t="s">
        <v>162</v>
      </c>
      <c r="D76" s="15" t="s">
        <v>163</v>
      </c>
      <c r="E76" s="16" t="s">
        <v>26</v>
      </c>
      <c r="F76" s="17"/>
      <c r="G76" cm="1">
        <f t="array" ref="G76">IFERROR(_xlfn.XLOOKUP(Pedido891011121412131617181921192223[[#This Row],[Id de Producto]],[1]!Precios[[#All],[Id de Producto]],[1]!Precios[[#All],[Coste estándar]])*Pedido891011121412131617181921192223[[#This Row],[Pedido]],0)</f>
        <v>0</v>
      </c>
      <c r="H76" s="18">
        <v>1</v>
      </c>
      <c r="I76" s="15" t="s">
        <v>121</v>
      </c>
      <c r="J76" s="1"/>
      <c r="K76" s="1"/>
      <c r="L76" s="1"/>
      <c r="M76" s="1"/>
      <c r="N76" s="1"/>
    </row>
    <row r="77" spans="1:14" hidden="1" x14ac:dyDescent="0.25">
      <c r="A77" s="1"/>
      <c r="B77" s="16" t="s">
        <v>121</v>
      </c>
      <c r="C77" s="15" t="s">
        <v>164</v>
      </c>
      <c r="D77" s="15" t="s">
        <v>165</v>
      </c>
      <c r="E77" s="16" t="s">
        <v>26</v>
      </c>
      <c r="F77" s="17"/>
      <c r="G77" cm="1">
        <f t="array" ref="G77">IFERROR(_xlfn.XLOOKUP(Pedido891011121412131617181921192223[[#This Row],[Id de Producto]],[1]!Precios[[#All],[Id de Producto]],[1]!Precios[[#All],[Coste estándar]])*Pedido891011121412131617181921192223[[#This Row],[Pedido]],0)</f>
        <v>0</v>
      </c>
      <c r="H77" s="18">
        <v>1</v>
      </c>
      <c r="I77" s="15" t="s">
        <v>121</v>
      </c>
      <c r="J77" s="1"/>
      <c r="K77" s="1"/>
      <c r="L77" s="1"/>
      <c r="M77" s="1"/>
      <c r="N77" s="1"/>
    </row>
    <row r="78" spans="1:14" hidden="1" x14ac:dyDescent="0.25">
      <c r="A78" s="1"/>
      <c r="B78" s="16" t="s">
        <v>121</v>
      </c>
      <c r="C78" s="15" t="s">
        <v>166</v>
      </c>
      <c r="D78" s="15" t="s">
        <v>167</v>
      </c>
      <c r="E78" s="16" t="s">
        <v>26</v>
      </c>
      <c r="F78" s="17"/>
      <c r="G78" cm="1">
        <f t="array" ref="G78">IFERROR(_xlfn.XLOOKUP(Pedido891011121412131617181921192223[[#This Row],[Id de Producto]],[1]!Precios[[#All],[Id de Producto]],[1]!Precios[[#All],[Coste estándar]])*Pedido891011121412131617181921192223[[#This Row],[Pedido]],0)</f>
        <v>0</v>
      </c>
      <c r="H78" s="18">
        <v>1</v>
      </c>
      <c r="I78" s="15" t="s">
        <v>121</v>
      </c>
      <c r="J78" s="1"/>
      <c r="K78" s="1"/>
      <c r="L78" s="1"/>
      <c r="M78" s="1"/>
      <c r="N78" s="1"/>
    </row>
    <row r="79" spans="1:14" hidden="1" x14ac:dyDescent="0.25">
      <c r="A79" s="1"/>
      <c r="B79" s="15" t="s">
        <v>121</v>
      </c>
      <c r="C79" s="15" t="s">
        <v>168</v>
      </c>
      <c r="D79" s="15" t="s">
        <v>169</v>
      </c>
      <c r="E79" s="16" t="s">
        <v>26</v>
      </c>
      <c r="F79" s="17"/>
      <c r="G79" cm="1">
        <f t="array" ref="G79">IFERROR(_xlfn.XLOOKUP(Pedido891011121412131617181921192223[[#This Row],[Id de Producto]],[1]!Precios[[#All],[Id de Producto]],[1]!Precios[[#All],[Coste estándar]])*Pedido891011121412131617181921192223[[#This Row],[Pedido]],0)</f>
        <v>0</v>
      </c>
      <c r="H79" s="18">
        <v>1</v>
      </c>
      <c r="I79" s="15" t="s">
        <v>121</v>
      </c>
      <c r="J79" s="1"/>
      <c r="K79" s="1"/>
      <c r="L79" s="1"/>
      <c r="M79" s="1"/>
      <c r="N79" s="1"/>
    </row>
    <row r="80" spans="1:14" hidden="1" x14ac:dyDescent="0.25">
      <c r="A80" s="1"/>
      <c r="B80" s="16" t="s">
        <v>121</v>
      </c>
      <c r="C80" s="15" t="s">
        <v>170</v>
      </c>
      <c r="D80" s="15" t="s">
        <v>171</v>
      </c>
      <c r="E80" s="16" t="s">
        <v>26</v>
      </c>
      <c r="F80" s="17"/>
      <c r="G80" cm="1">
        <f t="array" ref="G80">IFERROR(_xlfn.XLOOKUP(Pedido891011121412131617181921192223[[#This Row],[Id de Producto]],[1]!Precios[[#All],[Id de Producto]],[1]!Precios[[#All],[Coste estándar]])*Pedido891011121412131617181921192223[[#This Row],[Pedido]],0)</f>
        <v>0</v>
      </c>
      <c r="H80" s="18">
        <v>1</v>
      </c>
      <c r="I80" s="15" t="s">
        <v>121</v>
      </c>
      <c r="J80" s="1"/>
      <c r="K80" s="1"/>
      <c r="L80" s="1"/>
      <c r="M80" s="1"/>
      <c r="N80" s="1"/>
    </row>
    <row r="81" spans="1:14" hidden="1" x14ac:dyDescent="0.25">
      <c r="A81" s="1"/>
      <c r="B81" s="16" t="s">
        <v>121</v>
      </c>
      <c r="C81" s="15" t="s">
        <v>172</v>
      </c>
      <c r="D81" s="15" t="s">
        <v>173</v>
      </c>
      <c r="E81" s="16" t="s">
        <v>26</v>
      </c>
      <c r="F81" s="17"/>
      <c r="G81" cm="1">
        <f t="array" ref="G81">IFERROR(_xlfn.XLOOKUP(Pedido891011121412131617181921192223[[#This Row],[Id de Producto]],[1]!Precios[[#All],[Id de Producto]],[1]!Precios[[#All],[Coste estándar]])*Pedido891011121412131617181921192223[[#This Row],[Pedido]],0)</f>
        <v>0</v>
      </c>
      <c r="H81" s="18">
        <v>1</v>
      </c>
      <c r="I81" s="15" t="s">
        <v>121</v>
      </c>
      <c r="J81" s="1"/>
      <c r="K81" s="1"/>
      <c r="L81" s="1"/>
      <c r="M81" s="1"/>
      <c r="N81" s="1"/>
    </row>
    <row r="82" spans="1:14" hidden="1" x14ac:dyDescent="0.25">
      <c r="A82" s="1"/>
      <c r="B82" s="15" t="s">
        <v>121</v>
      </c>
      <c r="C82" s="15" t="s">
        <v>174</v>
      </c>
      <c r="D82" s="15" t="s">
        <v>175</v>
      </c>
      <c r="E82" s="15" t="s">
        <v>26</v>
      </c>
      <c r="F82" s="17"/>
      <c r="G82" cm="1">
        <f t="array" ref="G82">IFERROR(_xlfn.XLOOKUP(Pedido891011121412131617181921192223[[#This Row],[Id de Producto]],[1]!Precios[[#All],[Id de Producto]],[1]!Precios[[#All],[Coste estándar]])*Pedido891011121412131617181921192223[[#This Row],[Pedido]],0)</f>
        <v>0</v>
      </c>
      <c r="H82" s="18">
        <v>1</v>
      </c>
      <c r="I82" s="15" t="s">
        <v>121</v>
      </c>
      <c r="J82" s="1"/>
      <c r="K82" s="1"/>
      <c r="L82" s="1"/>
      <c r="M82" s="1"/>
      <c r="N82" s="1"/>
    </row>
    <row r="83" spans="1:14" hidden="1" x14ac:dyDescent="0.25">
      <c r="A83" s="1"/>
      <c r="B83" s="16" t="s">
        <v>121</v>
      </c>
      <c r="C83" s="15" t="s">
        <v>176</v>
      </c>
      <c r="D83" s="15" t="s">
        <v>177</v>
      </c>
      <c r="E83" s="16" t="s">
        <v>26</v>
      </c>
      <c r="F83" s="17"/>
      <c r="G83" cm="1">
        <f t="array" ref="G83">IFERROR(_xlfn.XLOOKUP(Pedido891011121412131617181921192223[[#This Row],[Id de Producto]],[1]!Precios[[#All],[Id de Producto]],[1]!Precios[[#All],[Coste estándar]])*Pedido891011121412131617181921192223[[#This Row],[Pedido]],0)</f>
        <v>0</v>
      </c>
      <c r="H83" s="18">
        <v>1</v>
      </c>
      <c r="I83" s="15" t="s">
        <v>121</v>
      </c>
      <c r="J83" s="1"/>
      <c r="K83" s="1"/>
      <c r="L83" s="1"/>
      <c r="M83" s="1"/>
      <c r="N83" s="1"/>
    </row>
    <row r="84" spans="1:14" hidden="1" x14ac:dyDescent="0.25">
      <c r="A84" s="1"/>
      <c r="B84" s="16" t="s">
        <v>121</v>
      </c>
      <c r="C84" s="15" t="s">
        <v>178</v>
      </c>
      <c r="D84" s="15" t="s">
        <v>179</v>
      </c>
      <c r="E84" s="16" t="s">
        <v>26</v>
      </c>
      <c r="F84" s="17"/>
      <c r="G84" cm="1">
        <f t="array" ref="G84">IFERROR(_xlfn.XLOOKUP(Pedido891011121412131617181921192223[[#This Row],[Id de Producto]],[1]!Precios[[#All],[Id de Producto]],[1]!Precios[[#All],[Coste estándar]])*Pedido891011121412131617181921192223[[#This Row],[Pedido]],0)</f>
        <v>0</v>
      </c>
      <c r="H84" s="18">
        <v>1</v>
      </c>
      <c r="I84" s="15" t="s">
        <v>121</v>
      </c>
      <c r="J84" s="1"/>
      <c r="K84" s="1"/>
      <c r="L84" s="1"/>
      <c r="M84" s="1"/>
      <c r="N84" s="1"/>
    </row>
    <row r="85" spans="1:14" hidden="1" x14ac:dyDescent="0.25">
      <c r="A85" s="1"/>
      <c r="B85" s="16" t="s">
        <v>121</v>
      </c>
      <c r="C85" s="15" t="s">
        <v>180</v>
      </c>
      <c r="D85" s="15" t="s">
        <v>181</v>
      </c>
      <c r="E85" s="16" t="s">
        <v>26</v>
      </c>
      <c r="F85" s="17"/>
      <c r="G85" cm="1">
        <f t="array" ref="G85">IFERROR(_xlfn.XLOOKUP(Pedido891011121412131617181921192223[[#This Row],[Id de Producto]],[1]!Precios[[#All],[Id de Producto]],[1]!Precios[[#All],[Coste estándar]])*Pedido891011121412131617181921192223[[#This Row],[Pedido]],0)</f>
        <v>0</v>
      </c>
      <c r="H85" s="18">
        <v>1</v>
      </c>
      <c r="I85" s="15" t="s">
        <v>121</v>
      </c>
      <c r="J85" s="1"/>
      <c r="K85" s="1"/>
      <c r="L85" s="1"/>
      <c r="M85" s="1"/>
      <c r="N85" s="1"/>
    </row>
    <row r="86" spans="1:14" hidden="1" x14ac:dyDescent="0.25">
      <c r="A86" s="1"/>
      <c r="B86" s="15" t="s">
        <v>121</v>
      </c>
      <c r="C86" s="15" t="s">
        <v>182</v>
      </c>
      <c r="D86" s="15" t="s">
        <v>183</v>
      </c>
      <c r="E86" s="15" t="s">
        <v>26</v>
      </c>
      <c r="F86" s="17"/>
      <c r="G86" cm="1">
        <f t="array" ref="G86">IFERROR(_xlfn.XLOOKUP(Pedido891011121412131617181921192223[[#This Row],[Id de Producto]],[1]!Precios[[#All],[Id de Producto]],[1]!Precios[[#All],[Coste estándar]])*Pedido891011121412131617181921192223[[#This Row],[Pedido]],0)</f>
        <v>0</v>
      </c>
      <c r="H86" s="18">
        <v>1</v>
      </c>
      <c r="I86" s="15" t="s">
        <v>121</v>
      </c>
      <c r="J86" s="1"/>
      <c r="K86" s="1"/>
      <c r="L86" s="1"/>
      <c r="M86" s="1"/>
      <c r="N86" s="1"/>
    </row>
    <row r="87" spans="1:14" hidden="1" x14ac:dyDescent="0.25">
      <c r="A87" s="1"/>
      <c r="B87" s="15" t="s">
        <v>121</v>
      </c>
      <c r="C87" s="15" t="s">
        <v>184</v>
      </c>
      <c r="D87" s="15" t="s">
        <v>185</v>
      </c>
      <c r="E87" s="15" t="s">
        <v>26</v>
      </c>
      <c r="F87" s="17"/>
      <c r="G87" cm="1">
        <f t="array" ref="G87">IFERROR(_xlfn.XLOOKUP(Pedido891011121412131617181921192223[[#This Row],[Id de Producto]],[1]!Precios[[#All],[Id de Producto]],[1]!Precios[[#All],[Coste estándar]])*Pedido891011121412131617181921192223[[#This Row],[Pedido]],0)</f>
        <v>0</v>
      </c>
      <c r="H87" s="18">
        <v>1</v>
      </c>
      <c r="I87" s="15" t="s">
        <v>121</v>
      </c>
      <c r="J87" s="1"/>
      <c r="K87" s="1"/>
      <c r="L87" s="1"/>
      <c r="M87" s="1"/>
      <c r="N87" s="1"/>
    </row>
    <row r="88" spans="1:14" hidden="1" x14ac:dyDescent="0.25">
      <c r="A88" s="1"/>
      <c r="B88" s="15" t="s">
        <v>121</v>
      </c>
      <c r="C88" s="15" t="s">
        <v>186</v>
      </c>
      <c r="D88" s="15" t="s">
        <v>187</v>
      </c>
      <c r="E88" s="15" t="s">
        <v>26</v>
      </c>
      <c r="F88" s="17"/>
      <c r="G88" cm="1">
        <f t="array" ref="G88">IFERROR(_xlfn.XLOOKUP(Pedido891011121412131617181921192223[[#This Row],[Id de Producto]],[1]!Precios[[#All],[Id de Producto]],[1]!Precios[[#All],[Coste estándar]])*Pedido891011121412131617181921192223[[#This Row],[Pedido]],0)</f>
        <v>0</v>
      </c>
      <c r="H88" s="18">
        <v>1</v>
      </c>
      <c r="I88" s="15" t="s">
        <v>121</v>
      </c>
      <c r="J88" s="1"/>
      <c r="K88" s="1"/>
      <c r="L88" s="1"/>
      <c r="M88" s="1"/>
      <c r="N88" s="1"/>
    </row>
    <row r="89" spans="1:14" hidden="1" x14ac:dyDescent="0.25">
      <c r="A89" s="1"/>
      <c r="B89" s="16" t="s">
        <v>121</v>
      </c>
      <c r="C89" s="15" t="s">
        <v>188</v>
      </c>
      <c r="D89" s="15" t="s">
        <v>189</v>
      </c>
      <c r="E89" s="16" t="s">
        <v>26</v>
      </c>
      <c r="F89" s="17"/>
      <c r="G89" cm="1">
        <f t="array" ref="G89">IFERROR(_xlfn.XLOOKUP(Pedido891011121412131617181921192223[[#This Row],[Id de Producto]],[1]!Precios[[#All],[Id de Producto]],[1]!Precios[[#All],[Coste estándar]])*Pedido891011121412131617181921192223[[#This Row],[Pedido]],0)</f>
        <v>0</v>
      </c>
      <c r="H89" s="18">
        <v>1</v>
      </c>
      <c r="I89" s="15" t="s">
        <v>121</v>
      </c>
      <c r="J89" s="1"/>
      <c r="K89" s="1"/>
      <c r="L89" s="1"/>
      <c r="M89" s="1"/>
      <c r="N89" s="1"/>
    </row>
    <row r="90" spans="1:14" hidden="1" x14ac:dyDescent="0.25">
      <c r="A90" s="1"/>
      <c r="B90" s="16" t="s">
        <v>121</v>
      </c>
      <c r="C90" s="15" t="s">
        <v>190</v>
      </c>
      <c r="D90" s="15" t="s">
        <v>191</v>
      </c>
      <c r="E90" s="16" t="s">
        <v>26</v>
      </c>
      <c r="F90" s="17"/>
      <c r="G90" cm="1">
        <f t="array" ref="G90">IFERROR(_xlfn.XLOOKUP(Pedido891011121412131617181921192223[[#This Row],[Id de Producto]],[1]!Precios[[#All],[Id de Producto]],[1]!Precios[[#All],[Coste estándar]])*Pedido891011121412131617181921192223[[#This Row],[Pedido]],0)</f>
        <v>0</v>
      </c>
      <c r="H90" s="18">
        <v>1</v>
      </c>
      <c r="I90" s="15" t="s">
        <v>121</v>
      </c>
      <c r="J90" s="1"/>
      <c r="K90" s="1"/>
      <c r="L90" s="1"/>
      <c r="M90" s="1"/>
      <c r="N90" s="1"/>
    </row>
    <row r="91" spans="1:14" hidden="1" x14ac:dyDescent="0.25">
      <c r="A91" s="1"/>
      <c r="B91" s="15" t="s">
        <v>121</v>
      </c>
      <c r="C91" s="15" t="s">
        <v>192</v>
      </c>
      <c r="D91" s="15" t="s">
        <v>193</v>
      </c>
      <c r="E91" s="15" t="s">
        <v>26</v>
      </c>
      <c r="F91" s="17"/>
      <c r="G91" cm="1">
        <f t="array" ref="G91">IFERROR(_xlfn.XLOOKUP(Pedido891011121412131617181921192223[[#This Row],[Id de Producto]],[1]!Precios[[#All],[Id de Producto]],[1]!Precios[[#All],[Coste estándar]])*Pedido891011121412131617181921192223[[#This Row],[Pedido]],0)</f>
        <v>0</v>
      </c>
      <c r="H91" s="18">
        <v>1</v>
      </c>
      <c r="I91" s="15" t="s">
        <v>121</v>
      </c>
      <c r="J91" s="1"/>
      <c r="K91" s="1"/>
      <c r="L91" s="1"/>
      <c r="M91" s="1"/>
      <c r="N91" s="1"/>
    </row>
    <row r="92" spans="1:14" hidden="1" x14ac:dyDescent="0.25">
      <c r="A92" s="1"/>
      <c r="B92" s="15" t="s">
        <v>121</v>
      </c>
      <c r="C92" s="15" t="s">
        <v>194</v>
      </c>
      <c r="D92" s="15" t="s">
        <v>195</v>
      </c>
      <c r="E92" s="16" t="s">
        <v>26</v>
      </c>
      <c r="F92" s="17"/>
      <c r="G92" cm="1">
        <f t="array" ref="G92">IFERROR(_xlfn.XLOOKUP(Pedido891011121412131617181921192223[[#This Row],[Id de Producto]],[1]!Precios[[#All],[Id de Producto]],[1]!Precios[[#All],[Coste estándar]])*Pedido891011121412131617181921192223[[#This Row],[Pedido]],0)</f>
        <v>0</v>
      </c>
      <c r="H92" s="15">
        <v>1</v>
      </c>
      <c r="I92" s="15" t="s">
        <v>121</v>
      </c>
      <c r="J92" s="1"/>
      <c r="K92" s="1"/>
      <c r="L92" s="1"/>
      <c r="M92" s="1"/>
      <c r="N92" s="1"/>
    </row>
    <row r="93" spans="1:14" hidden="1" x14ac:dyDescent="0.25">
      <c r="A93" s="1"/>
      <c r="B93" s="16" t="s">
        <v>121</v>
      </c>
      <c r="C93" s="15" t="s">
        <v>196</v>
      </c>
      <c r="D93" s="15" t="s">
        <v>197</v>
      </c>
      <c r="E93" s="16" t="s">
        <v>26</v>
      </c>
      <c r="F93" s="17"/>
      <c r="G93" cm="1">
        <f t="array" ref="G93">IFERROR(_xlfn.XLOOKUP(Pedido891011121412131617181921192223[[#This Row],[Id de Producto]],[1]!Precios[[#All],[Id de Producto]],[1]!Precios[[#All],[Coste estándar]])*Pedido891011121412131617181921192223[[#This Row],[Pedido]],0)</f>
        <v>0</v>
      </c>
      <c r="H93" s="18">
        <v>1</v>
      </c>
      <c r="I93" s="15" t="s">
        <v>121</v>
      </c>
      <c r="J93" s="1"/>
      <c r="K93" s="1"/>
      <c r="L93" s="1"/>
      <c r="M93" s="1"/>
      <c r="N93" s="1"/>
    </row>
    <row r="94" spans="1:14" hidden="1" x14ac:dyDescent="0.25">
      <c r="A94" s="1"/>
      <c r="B94" s="16" t="s">
        <v>121</v>
      </c>
      <c r="C94" s="15" t="s">
        <v>198</v>
      </c>
      <c r="D94" s="15" t="s">
        <v>199</v>
      </c>
      <c r="E94" s="16" t="s">
        <v>26</v>
      </c>
      <c r="F94" s="17"/>
      <c r="G94" cm="1">
        <f t="array" ref="G94">IFERROR(_xlfn.XLOOKUP(Pedido891011121412131617181921192223[[#This Row],[Id de Producto]],[1]!Precios[[#All],[Id de Producto]],[1]!Precios[[#All],[Coste estándar]])*Pedido891011121412131617181921192223[[#This Row],[Pedido]],0)</f>
        <v>0</v>
      </c>
      <c r="H94" s="18">
        <v>1</v>
      </c>
      <c r="I94" s="15" t="s">
        <v>121</v>
      </c>
      <c r="J94" s="1"/>
      <c r="K94" s="1"/>
      <c r="L94" s="1"/>
      <c r="M94" s="1"/>
      <c r="N94" s="1"/>
    </row>
    <row r="95" spans="1:14" hidden="1" x14ac:dyDescent="0.25">
      <c r="A95" s="1"/>
      <c r="B95" s="16" t="s">
        <v>121</v>
      </c>
      <c r="C95" s="15" t="s">
        <v>200</v>
      </c>
      <c r="D95" s="15" t="s">
        <v>201</v>
      </c>
      <c r="E95" s="16" t="s">
        <v>26</v>
      </c>
      <c r="F95" s="17"/>
      <c r="G95" cm="1">
        <f t="array" ref="G95">IFERROR(_xlfn.XLOOKUP(Pedido891011121412131617181921192223[[#This Row],[Id de Producto]],[1]!Precios[[#All],[Id de Producto]],[1]!Precios[[#All],[Coste estándar]])*Pedido891011121412131617181921192223[[#This Row],[Pedido]],0)</f>
        <v>0</v>
      </c>
      <c r="H95" s="18">
        <v>1</v>
      </c>
      <c r="I95" s="15" t="s">
        <v>121</v>
      </c>
      <c r="J95" s="1"/>
      <c r="K95" s="1"/>
      <c r="L95" s="1"/>
      <c r="M95" s="1"/>
      <c r="N95" s="1"/>
    </row>
    <row r="96" spans="1:14" hidden="1" x14ac:dyDescent="0.25">
      <c r="A96" s="1"/>
      <c r="B96" s="16" t="s">
        <v>121</v>
      </c>
      <c r="C96" s="15" t="s">
        <v>202</v>
      </c>
      <c r="D96" s="15" t="s">
        <v>203</v>
      </c>
      <c r="E96" s="16" t="s">
        <v>26</v>
      </c>
      <c r="F96" s="17"/>
      <c r="G96" cm="1">
        <f t="array" ref="G96">IFERROR(_xlfn.XLOOKUP(Pedido891011121412131617181921192223[[#This Row],[Id de Producto]],[1]!Precios[[#All],[Id de Producto]],[1]!Precios[[#All],[Coste estándar]])*Pedido891011121412131617181921192223[[#This Row],[Pedido]],0)</f>
        <v>0</v>
      </c>
      <c r="H96" s="18">
        <v>1</v>
      </c>
      <c r="I96" s="15" t="s">
        <v>121</v>
      </c>
      <c r="J96" s="1"/>
      <c r="K96" s="1"/>
      <c r="L96" s="1"/>
      <c r="M96" s="1"/>
      <c r="N96" s="1"/>
    </row>
    <row r="97" spans="1:14" hidden="1" x14ac:dyDescent="0.25">
      <c r="A97" s="1"/>
      <c r="B97" s="16" t="s">
        <v>121</v>
      </c>
      <c r="C97" s="15" t="s">
        <v>204</v>
      </c>
      <c r="D97" s="15" t="s">
        <v>205</v>
      </c>
      <c r="E97" s="16" t="s">
        <v>26</v>
      </c>
      <c r="F97" s="17"/>
      <c r="G97" cm="1">
        <f t="array" ref="G97">IFERROR(_xlfn.XLOOKUP(Pedido891011121412131617181921192223[[#This Row],[Id de Producto]],[1]!Precios[[#All],[Id de Producto]],[1]!Precios[[#All],[Coste estándar]])*Pedido891011121412131617181921192223[[#This Row],[Pedido]],0)</f>
        <v>0</v>
      </c>
      <c r="H97" s="18">
        <v>1</v>
      </c>
      <c r="I97" s="15" t="s">
        <v>121</v>
      </c>
      <c r="J97" s="1"/>
      <c r="K97" s="1"/>
      <c r="L97" s="1"/>
      <c r="M97" s="1"/>
      <c r="N97" s="1"/>
    </row>
    <row r="98" spans="1:14" hidden="1" x14ac:dyDescent="0.25">
      <c r="A98" s="1"/>
      <c r="B98" s="15" t="s">
        <v>121</v>
      </c>
      <c r="C98" s="15" t="s">
        <v>206</v>
      </c>
      <c r="D98" s="15" t="s">
        <v>207</v>
      </c>
      <c r="E98" s="16" t="s">
        <v>26</v>
      </c>
      <c r="F98" s="17"/>
      <c r="G98" cm="1">
        <f t="array" ref="G98">IFERROR(_xlfn.XLOOKUP(Pedido891011121412131617181921192223[[#This Row],[Id de Producto]],[1]!Precios[[#All],[Id de Producto]],[1]!Precios[[#All],[Coste estándar]])*Pedido891011121412131617181921192223[[#This Row],[Pedido]],0)</f>
        <v>0</v>
      </c>
      <c r="H98" s="18">
        <v>1</v>
      </c>
      <c r="I98" s="15" t="s">
        <v>121</v>
      </c>
      <c r="J98" s="1"/>
      <c r="K98" s="1"/>
      <c r="L98" s="1"/>
      <c r="M98" s="1"/>
      <c r="N98" s="1"/>
    </row>
    <row r="99" spans="1:14" hidden="1" x14ac:dyDescent="0.25">
      <c r="A99" s="1"/>
      <c r="B99" s="15" t="s">
        <v>121</v>
      </c>
      <c r="C99" s="15" t="s">
        <v>208</v>
      </c>
      <c r="D99" s="15" t="s">
        <v>209</v>
      </c>
      <c r="E99" s="16" t="s">
        <v>26</v>
      </c>
      <c r="F99" s="17"/>
      <c r="G99" cm="1">
        <f t="array" ref="G99">IFERROR(_xlfn.XLOOKUP(Pedido891011121412131617181921192223[[#This Row],[Id de Producto]],[1]!Precios[[#All],[Id de Producto]],[1]!Precios[[#All],[Coste estándar]])*Pedido891011121412131617181921192223[[#This Row],[Pedido]],0)</f>
        <v>0</v>
      </c>
      <c r="H99" s="18">
        <v>1</v>
      </c>
      <c r="I99" s="15" t="s">
        <v>121</v>
      </c>
      <c r="J99" s="1"/>
      <c r="K99" s="1"/>
      <c r="L99" s="1"/>
      <c r="M99" s="1"/>
      <c r="N99" s="1"/>
    </row>
    <row r="100" spans="1:14" hidden="1" x14ac:dyDescent="0.25">
      <c r="A100" s="1"/>
      <c r="B100" s="15" t="s">
        <v>121</v>
      </c>
      <c r="C100" s="15" t="s">
        <v>210</v>
      </c>
      <c r="D100" s="15" t="s">
        <v>211</v>
      </c>
      <c r="E100" s="15" t="s">
        <v>26</v>
      </c>
      <c r="F100" s="17"/>
      <c r="G100" cm="1">
        <f t="array" ref="G100">IFERROR(_xlfn.XLOOKUP(Pedido891011121412131617181921192223[[#This Row],[Id de Producto]],[1]!Precios[[#All],[Id de Producto]],[1]!Precios[[#All],[Coste estándar]])*Pedido891011121412131617181921192223[[#This Row],[Pedido]],0)</f>
        <v>0</v>
      </c>
      <c r="H100" s="18">
        <v>1</v>
      </c>
      <c r="I100" s="15" t="s">
        <v>121</v>
      </c>
      <c r="J100" s="1"/>
      <c r="K100" s="1"/>
      <c r="L100" s="1"/>
      <c r="M100" s="1"/>
      <c r="N100" s="1"/>
    </row>
    <row r="101" spans="1:14" hidden="1" x14ac:dyDescent="0.25">
      <c r="A101" s="1"/>
      <c r="B101" s="15" t="s">
        <v>121</v>
      </c>
      <c r="C101" s="15" t="s">
        <v>212</v>
      </c>
      <c r="D101" s="15" t="s">
        <v>213</v>
      </c>
      <c r="E101" s="16" t="s">
        <v>26</v>
      </c>
      <c r="F101" s="17"/>
      <c r="G101" cm="1">
        <f t="array" ref="G101">IFERROR(_xlfn.XLOOKUP(Pedido891011121412131617181921192223[[#This Row],[Id de Producto]],[1]!Precios[[#All],[Id de Producto]],[1]!Precios[[#All],[Coste estándar]])*Pedido891011121412131617181921192223[[#This Row],[Pedido]],0)</f>
        <v>0</v>
      </c>
      <c r="H101" s="15">
        <v>1</v>
      </c>
      <c r="I101" s="15" t="s">
        <v>121</v>
      </c>
      <c r="J101" s="1"/>
      <c r="K101" s="1"/>
      <c r="L101" s="1"/>
      <c r="M101" s="1"/>
      <c r="N101" s="1"/>
    </row>
    <row r="102" spans="1:14" hidden="1" x14ac:dyDescent="0.25">
      <c r="A102" s="1"/>
      <c r="B102" s="15" t="s">
        <v>121</v>
      </c>
      <c r="C102" s="15" t="s">
        <v>214</v>
      </c>
      <c r="D102" s="15" t="s">
        <v>215</v>
      </c>
      <c r="E102" s="16" t="s">
        <v>22</v>
      </c>
      <c r="F102" s="17"/>
      <c r="G102" cm="1">
        <f t="array" ref="G102">IFERROR(_xlfn.XLOOKUP(Pedido891011121412131617181921192223[[#This Row],[Id de Producto]],[1]!Precios[[#All],[Id de Producto]],[1]!Precios[[#All],[Coste estándar]])*Pedido891011121412131617181921192223[[#This Row],[Pedido]],0)</f>
        <v>0</v>
      </c>
      <c r="H102" s="18">
        <v>1</v>
      </c>
      <c r="I102" s="15" t="s">
        <v>121</v>
      </c>
      <c r="J102" s="1"/>
      <c r="K102" s="1"/>
      <c r="L102" s="1"/>
      <c r="M102" s="1"/>
      <c r="N102" s="1"/>
    </row>
    <row r="103" spans="1:14" hidden="1" x14ac:dyDescent="0.25">
      <c r="A103" s="1"/>
      <c r="B103" s="15" t="s">
        <v>121</v>
      </c>
      <c r="C103" s="15" t="s">
        <v>216</v>
      </c>
      <c r="D103" s="15" t="s">
        <v>217</v>
      </c>
      <c r="E103" s="16" t="s">
        <v>26</v>
      </c>
      <c r="F103" s="17"/>
      <c r="G103" cm="1">
        <f t="array" ref="G103">IFERROR(_xlfn.XLOOKUP(Pedido891011121412131617181921192223[[#This Row],[Id de Producto]],[1]!Precios[[#All],[Id de Producto]],[1]!Precios[[#All],[Coste estándar]])*Pedido891011121412131617181921192223[[#This Row],[Pedido]],0)</f>
        <v>0</v>
      </c>
      <c r="H103" s="18">
        <v>1</v>
      </c>
      <c r="I103" s="15" t="s">
        <v>121</v>
      </c>
      <c r="J103" s="1"/>
      <c r="K103" s="1"/>
      <c r="L103" s="1"/>
      <c r="M103" s="1"/>
      <c r="N103" s="1"/>
    </row>
    <row r="104" spans="1:14" hidden="1" x14ac:dyDescent="0.25">
      <c r="A104" s="1"/>
      <c r="B104" s="15" t="s">
        <v>121</v>
      </c>
      <c r="C104" s="15" t="s">
        <v>218</v>
      </c>
      <c r="D104" s="15" t="s">
        <v>219</v>
      </c>
      <c r="E104" s="16" t="s">
        <v>26</v>
      </c>
      <c r="F104" s="17"/>
      <c r="G104" cm="1">
        <f t="array" ref="G104">IFERROR(_xlfn.XLOOKUP(Pedido891011121412131617181921192223[[#This Row],[Id de Producto]],[1]!Precios[[#All],[Id de Producto]],[1]!Precios[[#All],[Coste estándar]])*Pedido891011121412131617181921192223[[#This Row],[Pedido]],0)</f>
        <v>0</v>
      </c>
      <c r="H104" s="18">
        <v>1</v>
      </c>
      <c r="I104" s="15" t="s">
        <v>121</v>
      </c>
      <c r="J104" s="1"/>
      <c r="K104" s="1"/>
      <c r="L104" s="1"/>
      <c r="M104" s="1"/>
      <c r="N104" s="1"/>
    </row>
    <row r="105" spans="1:14" hidden="1" x14ac:dyDescent="0.25">
      <c r="A105" s="1"/>
      <c r="B105" s="16" t="s">
        <v>121</v>
      </c>
      <c r="C105" s="15" t="s">
        <v>220</v>
      </c>
      <c r="D105" s="15" t="s">
        <v>221</v>
      </c>
      <c r="E105" s="16" t="s">
        <v>26</v>
      </c>
      <c r="F105" s="17"/>
      <c r="G105" cm="1">
        <f t="array" ref="G105">IFERROR(_xlfn.XLOOKUP(Pedido891011121412131617181921192223[[#This Row],[Id de Producto]],[1]!Precios[[#All],[Id de Producto]],[1]!Precios[[#All],[Coste estándar]])*Pedido891011121412131617181921192223[[#This Row],[Pedido]],0)</f>
        <v>0</v>
      </c>
      <c r="H105" s="18">
        <v>1</v>
      </c>
      <c r="I105" s="15" t="s">
        <v>121</v>
      </c>
      <c r="J105" s="1"/>
      <c r="K105" s="1"/>
      <c r="L105" s="1"/>
      <c r="M105" s="1"/>
      <c r="N105" s="1"/>
    </row>
    <row r="106" spans="1:14" hidden="1" x14ac:dyDescent="0.25">
      <c r="A106" s="1"/>
      <c r="B106" s="15" t="s">
        <v>121</v>
      </c>
      <c r="C106" s="15" t="s">
        <v>222</v>
      </c>
      <c r="D106" s="15" t="s">
        <v>223</v>
      </c>
      <c r="E106" s="15" t="s">
        <v>26</v>
      </c>
      <c r="F106" s="17"/>
      <c r="G106" cm="1">
        <f t="array" ref="G106">IFERROR(_xlfn.XLOOKUP(Pedido891011121412131617181921192223[[#This Row],[Id de Producto]],[1]!Precios[[#All],[Id de Producto]],[1]!Precios[[#All],[Coste estándar]])*Pedido891011121412131617181921192223[[#This Row],[Pedido]],0)</f>
        <v>0</v>
      </c>
      <c r="H106" s="18">
        <v>1</v>
      </c>
      <c r="I106" s="15" t="s">
        <v>121</v>
      </c>
      <c r="J106" s="1"/>
      <c r="K106" s="1"/>
      <c r="L106" s="1"/>
      <c r="M106" s="1"/>
      <c r="N106" s="1"/>
    </row>
    <row r="107" spans="1:14" hidden="1" x14ac:dyDescent="0.25">
      <c r="A107" s="1"/>
      <c r="B107" s="16" t="s">
        <v>121</v>
      </c>
      <c r="C107" s="15" t="s">
        <v>224</v>
      </c>
      <c r="D107" s="15" t="s">
        <v>225</v>
      </c>
      <c r="E107" s="16" t="s">
        <v>26</v>
      </c>
      <c r="F107" s="17"/>
      <c r="G107" cm="1">
        <f t="array" ref="G107">IFERROR(_xlfn.XLOOKUP(Pedido891011121412131617181921192223[[#This Row],[Id de Producto]],[1]!Precios[[#All],[Id de Producto]],[1]!Precios[[#All],[Coste estándar]])*Pedido891011121412131617181921192223[[#This Row],[Pedido]],0)</f>
        <v>0</v>
      </c>
      <c r="H107" s="18">
        <v>1</v>
      </c>
      <c r="I107" s="15" t="s">
        <v>121</v>
      </c>
      <c r="J107" s="1"/>
      <c r="K107" s="1"/>
      <c r="L107" s="1"/>
      <c r="M107" s="1"/>
      <c r="N107" s="1"/>
    </row>
    <row r="108" spans="1:14" hidden="1" x14ac:dyDescent="0.25">
      <c r="A108" s="1"/>
      <c r="B108" s="16" t="s">
        <v>121</v>
      </c>
      <c r="C108" s="15" t="s">
        <v>226</v>
      </c>
      <c r="D108" s="15" t="s">
        <v>227</v>
      </c>
      <c r="E108" s="16" t="s">
        <v>26</v>
      </c>
      <c r="F108" s="17"/>
      <c r="G108" cm="1">
        <f t="array" ref="G108">IFERROR(_xlfn.XLOOKUP(Pedido891011121412131617181921192223[[#This Row],[Id de Producto]],[1]!Precios[[#All],[Id de Producto]],[1]!Precios[[#All],[Coste estándar]])*Pedido891011121412131617181921192223[[#This Row],[Pedido]],0)</f>
        <v>0</v>
      </c>
      <c r="H108" s="18">
        <v>1</v>
      </c>
      <c r="I108" s="15" t="s">
        <v>121</v>
      </c>
      <c r="J108" s="1"/>
      <c r="K108" s="1"/>
      <c r="L108" s="1"/>
      <c r="M108" s="1"/>
      <c r="N108" s="1"/>
    </row>
    <row r="109" spans="1:14" hidden="1" x14ac:dyDescent="0.25">
      <c r="A109" s="1"/>
      <c r="B109" s="16" t="s">
        <v>121</v>
      </c>
      <c r="C109" s="15" t="s">
        <v>228</v>
      </c>
      <c r="D109" s="15" t="s">
        <v>229</v>
      </c>
      <c r="E109" s="16" t="s">
        <v>18</v>
      </c>
      <c r="F109" s="17"/>
      <c r="G109" cm="1">
        <f t="array" ref="G109">IFERROR(_xlfn.XLOOKUP(Pedido891011121412131617181921192223[[#This Row],[Id de Producto]],[1]!Precios[[#All],[Id de Producto]],[1]!Precios[[#All],[Coste estándar]])*Pedido891011121412131617181921192223[[#This Row],[Pedido]],0)</f>
        <v>0</v>
      </c>
      <c r="H109" s="18">
        <v>1</v>
      </c>
      <c r="I109" s="15" t="s">
        <v>121</v>
      </c>
      <c r="J109" s="1"/>
      <c r="K109" s="1"/>
      <c r="L109" s="1"/>
      <c r="M109" s="1"/>
      <c r="N109" s="1"/>
    </row>
    <row r="110" spans="1:14" hidden="1" x14ac:dyDescent="0.25">
      <c r="A110" s="1"/>
      <c r="B110" s="16" t="s">
        <v>121</v>
      </c>
      <c r="C110" s="15" t="s">
        <v>230</v>
      </c>
      <c r="D110" s="15" t="s">
        <v>231</v>
      </c>
      <c r="E110" s="16" t="s">
        <v>26</v>
      </c>
      <c r="F110" s="17"/>
      <c r="G110" cm="1">
        <f t="array" ref="G110">IFERROR(_xlfn.XLOOKUP(Pedido891011121412131617181921192223[[#This Row],[Id de Producto]],[1]!Precios[[#All],[Id de Producto]],[1]!Precios[[#All],[Coste estándar]])*Pedido891011121412131617181921192223[[#This Row],[Pedido]],0)</f>
        <v>0</v>
      </c>
      <c r="H110" s="18">
        <v>1</v>
      </c>
      <c r="I110" s="15" t="s">
        <v>121</v>
      </c>
      <c r="J110" s="1"/>
      <c r="K110" s="1"/>
      <c r="L110" s="1"/>
      <c r="M110" s="1"/>
      <c r="N110" s="1"/>
    </row>
    <row r="111" spans="1:14" hidden="1" x14ac:dyDescent="0.25">
      <c r="A111" s="1"/>
      <c r="B111" s="16" t="s">
        <v>121</v>
      </c>
      <c r="C111" s="15" t="s">
        <v>232</v>
      </c>
      <c r="D111" s="15" t="s">
        <v>233</v>
      </c>
      <c r="E111" s="16" t="s">
        <v>26</v>
      </c>
      <c r="F111" s="17"/>
      <c r="G111" cm="1">
        <f t="array" ref="G111">IFERROR(_xlfn.XLOOKUP(Pedido891011121412131617181921192223[[#This Row],[Id de Producto]],[1]!Precios[[#All],[Id de Producto]],[1]!Precios[[#All],[Coste estándar]])*Pedido891011121412131617181921192223[[#This Row],[Pedido]],0)</f>
        <v>0</v>
      </c>
      <c r="H111" s="18">
        <v>1</v>
      </c>
      <c r="I111" s="15" t="s">
        <v>121</v>
      </c>
      <c r="J111" s="1"/>
      <c r="K111" s="1"/>
      <c r="L111" s="1"/>
      <c r="M111" s="1"/>
      <c r="N111" s="1"/>
    </row>
    <row r="112" spans="1:14" hidden="1" x14ac:dyDescent="0.25">
      <c r="A112" s="1"/>
      <c r="B112" s="15" t="s">
        <v>121</v>
      </c>
      <c r="C112" s="15" t="s">
        <v>234</v>
      </c>
      <c r="D112" s="15" t="s">
        <v>235</v>
      </c>
      <c r="E112" s="15" t="s">
        <v>26</v>
      </c>
      <c r="F112" s="17"/>
      <c r="G112" cm="1">
        <f t="array" ref="G112">IFERROR(_xlfn.XLOOKUP(Pedido891011121412131617181921192223[[#This Row],[Id de Producto]],[1]!Precios[[#All],[Id de Producto]],[1]!Precios[[#All],[Coste estándar]])*Pedido891011121412131617181921192223[[#This Row],[Pedido]],0)</f>
        <v>0</v>
      </c>
      <c r="H112" s="18">
        <v>1</v>
      </c>
      <c r="I112" s="15" t="s">
        <v>121</v>
      </c>
      <c r="J112" s="1"/>
      <c r="K112" s="1"/>
      <c r="L112" s="1"/>
      <c r="M112" s="1"/>
      <c r="N112" s="1"/>
    </row>
    <row r="113" spans="1:14" hidden="1" x14ac:dyDescent="0.25">
      <c r="A113" s="1"/>
      <c r="B113" s="16" t="s">
        <v>121</v>
      </c>
      <c r="C113" s="15" t="s">
        <v>236</v>
      </c>
      <c r="D113" s="15" t="s">
        <v>237</v>
      </c>
      <c r="E113" s="16" t="s">
        <v>26</v>
      </c>
      <c r="F113" s="17"/>
      <c r="G113" cm="1">
        <f t="array" ref="G113">IFERROR(_xlfn.XLOOKUP(Pedido891011121412131617181921192223[[#This Row],[Id de Producto]],[1]!Precios[[#All],[Id de Producto]],[1]!Precios[[#All],[Coste estándar]])*Pedido891011121412131617181921192223[[#This Row],[Pedido]],0)</f>
        <v>0</v>
      </c>
      <c r="H113" s="18">
        <v>1</v>
      </c>
      <c r="I113" s="15" t="s">
        <v>121</v>
      </c>
      <c r="J113" s="1"/>
      <c r="K113" s="1"/>
      <c r="L113" s="1"/>
      <c r="M113" s="1"/>
      <c r="N113" s="1"/>
    </row>
    <row r="114" spans="1:14" hidden="1" x14ac:dyDescent="0.25">
      <c r="A114" s="1"/>
      <c r="B114" s="16" t="s">
        <v>121</v>
      </c>
      <c r="C114" s="15" t="s">
        <v>238</v>
      </c>
      <c r="D114" s="15" t="s">
        <v>239</v>
      </c>
      <c r="E114" s="16" t="s">
        <v>26</v>
      </c>
      <c r="F114" s="17"/>
      <c r="G114" cm="1">
        <f t="array" ref="G114">IFERROR(_xlfn.XLOOKUP(Pedido891011121412131617181921192223[[#This Row],[Id de Producto]],[1]!Precios[[#All],[Id de Producto]],[1]!Precios[[#All],[Coste estándar]])*Pedido891011121412131617181921192223[[#This Row],[Pedido]],0)</f>
        <v>0</v>
      </c>
      <c r="H114" s="18">
        <v>1</v>
      </c>
      <c r="I114" s="15" t="s">
        <v>121</v>
      </c>
      <c r="J114" s="1"/>
      <c r="K114" s="1"/>
      <c r="L114" s="1"/>
      <c r="M114" s="1"/>
      <c r="N114" s="1"/>
    </row>
    <row r="115" spans="1:14" hidden="1" x14ac:dyDescent="0.25">
      <c r="A115" s="1"/>
      <c r="B115" s="16" t="s">
        <v>121</v>
      </c>
      <c r="C115" s="15" t="s">
        <v>240</v>
      </c>
      <c r="D115" s="15" t="s">
        <v>241</v>
      </c>
      <c r="E115" s="16" t="s">
        <v>26</v>
      </c>
      <c r="F115" s="17"/>
      <c r="G115" cm="1">
        <f t="array" ref="G115">IFERROR(_xlfn.XLOOKUP(Pedido891011121412131617181921192223[[#This Row],[Id de Producto]],[1]!Precios[[#All],[Id de Producto]],[1]!Precios[[#All],[Coste estándar]])*Pedido891011121412131617181921192223[[#This Row],[Pedido]],0)</f>
        <v>0</v>
      </c>
      <c r="H115" s="18">
        <v>1</v>
      </c>
      <c r="I115" s="15" t="s">
        <v>121</v>
      </c>
      <c r="J115" s="1"/>
      <c r="K115" s="1"/>
      <c r="L115" s="1"/>
      <c r="M115" s="1"/>
      <c r="N115" s="1"/>
    </row>
    <row r="116" spans="1:14" hidden="1" x14ac:dyDescent="0.25">
      <c r="A116" s="1"/>
      <c r="B116" s="16" t="s">
        <v>121</v>
      </c>
      <c r="C116" s="15" t="s">
        <v>242</v>
      </c>
      <c r="D116" s="15" t="s">
        <v>243</v>
      </c>
      <c r="E116" s="15"/>
      <c r="F116" s="17" t="s">
        <v>244</v>
      </c>
      <c r="G116" s="14" cm="1">
        <f t="array" ref="G116">IFERROR(_xlfn.XLOOKUP(Pedido891011121412131617181921192223[[#This Row],[Id de Producto]],[1]!Precios[[#All],[Id de Producto]],[1]!Precios[[#All],[Coste estándar]])*Pedido891011121412131617181921192223[[#This Row],[Pedido]],0)</f>
        <v>0</v>
      </c>
      <c r="H116" s="21"/>
      <c r="I116" s="15"/>
      <c r="J116" s="1"/>
      <c r="K116" s="1"/>
      <c r="L116" s="1"/>
      <c r="M116" s="1"/>
      <c r="N116" s="1"/>
    </row>
    <row r="117" spans="1:14" hidden="1" x14ac:dyDescent="0.25">
      <c r="A117" s="1"/>
      <c r="B117" s="16" t="s">
        <v>121</v>
      </c>
      <c r="C117" s="15" t="s">
        <v>245</v>
      </c>
      <c r="D117" s="15" t="s">
        <v>246</v>
      </c>
      <c r="E117" s="16" t="s">
        <v>26</v>
      </c>
      <c r="F117" s="17"/>
      <c r="G117" cm="1">
        <f t="array" ref="G117">IFERROR(_xlfn.XLOOKUP(Pedido891011121412131617181921192223[[#This Row],[Id de Producto]],[1]!Precios[[#All],[Id de Producto]],[1]!Precios[[#All],[Coste estándar]])*Pedido891011121412131617181921192223[[#This Row],[Pedido]],0)</f>
        <v>0</v>
      </c>
      <c r="H117" s="18">
        <v>1</v>
      </c>
      <c r="I117" s="15" t="s">
        <v>121</v>
      </c>
      <c r="J117" s="1"/>
      <c r="K117" s="1"/>
      <c r="L117" s="1"/>
      <c r="M117" s="1"/>
      <c r="N117" s="1"/>
    </row>
    <row r="118" spans="1:14" hidden="1" x14ac:dyDescent="0.25">
      <c r="A118" s="1"/>
      <c r="B118" s="15" t="s">
        <v>121</v>
      </c>
      <c r="C118" s="15" t="s">
        <v>247</v>
      </c>
      <c r="D118" s="15" t="s">
        <v>248</v>
      </c>
      <c r="E118" s="15" t="s">
        <v>26</v>
      </c>
      <c r="F118" s="17"/>
      <c r="G118" cm="1">
        <f t="array" ref="G118">IFERROR(_xlfn.XLOOKUP(Pedido891011121412131617181921192223[[#This Row],[Id de Producto]],[1]!Precios[[#All],[Id de Producto]],[1]!Precios[[#All],[Coste estándar]])*Pedido891011121412131617181921192223[[#This Row],[Pedido]],0)</f>
        <v>0</v>
      </c>
      <c r="H118" s="18">
        <v>1</v>
      </c>
      <c r="I118" s="15" t="s">
        <v>121</v>
      </c>
      <c r="J118" s="1"/>
      <c r="K118" s="1"/>
      <c r="L118" s="1"/>
      <c r="M118" s="1"/>
      <c r="N118" s="1"/>
    </row>
    <row r="119" spans="1:14" hidden="1" x14ac:dyDescent="0.25">
      <c r="A119" s="1"/>
      <c r="B119" s="16" t="s">
        <v>121</v>
      </c>
      <c r="C119" s="15" t="s">
        <v>249</v>
      </c>
      <c r="D119" s="15" t="s">
        <v>250</v>
      </c>
      <c r="E119" s="16" t="s">
        <v>26</v>
      </c>
      <c r="F119" s="17"/>
      <c r="G119" cm="1">
        <f t="array" ref="G119">IFERROR(_xlfn.XLOOKUP(Pedido891011121412131617181921192223[[#This Row],[Id de Producto]],[1]!Precios[[#All],[Id de Producto]],[1]!Precios[[#All],[Coste estándar]])*Pedido891011121412131617181921192223[[#This Row],[Pedido]],0)</f>
        <v>0</v>
      </c>
      <c r="H119" s="18">
        <v>1</v>
      </c>
      <c r="I119" s="15" t="s">
        <v>121</v>
      </c>
      <c r="J119" s="1"/>
      <c r="K119" s="1"/>
      <c r="L119" s="1"/>
      <c r="M119" s="1"/>
      <c r="N119" s="1"/>
    </row>
    <row r="120" spans="1:14" hidden="1" x14ac:dyDescent="0.25">
      <c r="A120" s="1"/>
      <c r="B120" s="16" t="s">
        <v>121</v>
      </c>
      <c r="C120" s="15" t="s">
        <v>251</v>
      </c>
      <c r="D120" s="15" t="s">
        <v>252</v>
      </c>
      <c r="E120" s="16" t="s">
        <v>22</v>
      </c>
      <c r="F120" s="17"/>
      <c r="G120" cm="1">
        <f t="array" ref="G120">IFERROR(_xlfn.XLOOKUP(Pedido891011121412131617181921192223[[#This Row],[Id de Producto]],[1]!Precios[[#All],[Id de Producto]],[1]!Precios[[#All],[Coste estándar]])*Pedido891011121412131617181921192223[[#This Row],[Pedido]],0)</f>
        <v>0</v>
      </c>
      <c r="H120" s="18">
        <v>1</v>
      </c>
      <c r="I120" s="15" t="s">
        <v>121</v>
      </c>
      <c r="J120" s="1"/>
      <c r="K120" s="1"/>
      <c r="L120" s="1"/>
      <c r="M120" s="1"/>
      <c r="N120" s="1"/>
    </row>
    <row r="121" spans="1:14" hidden="1" x14ac:dyDescent="0.25">
      <c r="A121" s="1"/>
      <c r="B121" s="16" t="s">
        <v>105</v>
      </c>
      <c r="C121" s="15" t="s">
        <v>253</v>
      </c>
      <c r="D121" s="15" t="s">
        <v>254</v>
      </c>
      <c r="E121" s="16" t="s">
        <v>108</v>
      </c>
      <c r="F121" s="17"/>
      <c r="G121" cm="1">
        <f t="array" ref="G121">IFERROR(_xlfn.XLOOKUP(Pedido891011121412131617181921192223[[#This Row],[Id de Producto]],[1]!Precios[[#All],[Id de Producto]],[1]!Precios[[#All],[Coste estándar]])*Pedido891011121412131617181921192223[[#This Row],[Pedido]],0)</f>
        <v>0</v>
      </c>
      <c r="H121" s="18">
        <v>0</v>
      </c>
      <c r="I121" s="16" t="s">
        <v>105</v>
      </c>
      <c r="J121" s="1"/>
      <c r="K121" s="1"/>
      <c r="L121" s="1"/>
      <c r="M121" s="1"/>
      <c r="N121" s="1"/>
    </row>
    <row r="122" spans="1:14" hidden="1" x14ac:dyDescent="0.25">
      <c r="A122" s="1"/>
      <c r="B122" s="15" t="s">
        <v>255</v>
      </c>
      <c r="C122" s="15" t="s">
        <v>256</v>
      </c>
      <c r="D122" s="15" t="s">
        <v>257</v>
      </c>
      <c r="E122" s="16" t="s">
        <v>258</v>
      </c>
      <c r="F122" s="17"/>
      <c r="G122" cm="1">
        <f t="array" ref="G122">IFERROR(_xlfn.XLOOKUP(Pedido891011121412131617181921192223[[#This Row],[Id de Producto]],[1]!Precios[[#All],[Id de Producto]],[1]!Precios[[#All],[Coste estándar]])*Pedido891011121412131617181921192223[[#This Row],[Pedido]],0)</f>
        <v>0</v>
      </c>
      <c r="H122" s="15">
        <v>0</v>
      </c>
      <c r="I122" s="15" t="s">
        <v>255</v>
      </c>
      <c r="J122" s="1"/>
      <c r="K122" s="1"/>
      <c r="L122" s="1"/>
      <c r="M122" s="1"/>
      <c r="N122" s="1"/>
    </row>
    <row r="123" spans="1:14" hidden="1" x14ac:dyDescent="0.25">
      <c r="A123" s="1"/>
      <c r="B123" s="16" t="s">
        <v>255</v>
      </c>
      <c r="C123" s="15" t="s">
        <v>259</v>
      </c>
      <c r="D123" s="15" t="s">
        <v>260</v>
      </c>
      <c r="E123" s="16" t="s">
        <v>22</v>
      </c>
      <c r="F123" s="17"/>
      <c r="G123" cm="1">
        <f t="array" ref="G123">IFERROR(_xlfn.XLOOKUP(Pedido891011121412131617181921192223[[#This Row],[Id de Producto]],[1]!Precios[[#All],[Id de Producto]],[1]!Precios[[#All],[Coste estándar]])*Pedido891011121412131617181921192223[[#This Row],[Pedido]],0)</f>
        <v>0</v>
      </c>
      <c r="H123" s="18">
        <v>0</v>
      </c>
      <c r="I123" s="16" t="s">
        <v>255</v>
      </c>
      <c r="J123" s="1"/>
      <c r="K123" s="1"/>
      <c r="L123" s="1"/>
      <c r="M123" s="1"/>
      <c r="N123" s="1"/>
    </row>
    <row r="124" spans="1:14" hidden="1" x14ac:dyDescent="0.25">
      <c r="A124" s="1"/>
      <c r="B124" s="16" t="s">
        <v>255</v>
      </c>
      <c r="C124" s="15" t="s">
        <v>261</v>
      </c>
      <c r="D124" s="15" t="s">
        <v>262</v>
      </c>
      <c r="E124" s="16" t="s">
        <v>22</v>
      </c>
      <c r="F124" s="17"/>
      <c r="G124" cm="1">
        <f t="array" ref="G124">IFERROR(_xlfn.XLOOKUP(Pedido891011121412131617181921192223[[#This Row],[Id de Producto]],[1]!Precios[[#All],[Id de Producto]],[1]!Precios[[#All],[Coste estándar]])*Pedido891011121412131617181921192223[[#This Row],[Pedido]],0)</f>
        <v>0</v>
      </c>
      <c r="H124" s="18">
        <v>0</v>
      </c>
      <c r="I124" s="16" t="s">
        <v>255</v>
      </c>
      <c r="J124" s="1"/>
      <c r="K124" s="1"/>
      <c r="L124" s="1"/>
      <c r="M124" s="1"/>
      <c r="N124" s="1"/>
    </row>
    <row r="125" spans="1:14" hidden="1" x14ac:dyDescent="0.25">
      <c r="A125" s="1"/>
      <c r="B125" s="16" t="s">
        <v>255</v>
      </c>
      <c r="C125" s="15" t="s">
        <v>263</v>
      </c>
      <c r="D125" s="15" t="s">
        <v>264</v>
      </c>
      <c r="E125" s="16" t="s">
        <v>22</v>
      </c>
      <c r="F125" s="17"/>
      <c r="G125" cm="1">
        <f t="array" ref="G125">IFERROR(_xlfn.XLOOKUP(Pedido891011121412131617181921192223[[#This Row],[Id de Producto]],[1]!Precios[[#All],[Id de Producto]],[1]!Precios[[#All],[Coste estándar]])*Pedido891011121412131617181921192223[[#This Row],[Pedido]],0)</f>
        <v>0</v>
      </c>
      <c r="H125" s="18">
        <v>0</v>
      </c>
      <c r="I125" s="16" t="s">
        <v>255</v>
      </c>
      <c r="J125" s="1"/>
      <c r="K125" s="1"/>
      <c r="L125" s="1"/>
      <c r="M125" s="1"/>
      <c r="N125" s="1"/>
    </row>
    <row r="126" spans="1:14" hidden="1" x14ac:dyDescent="0.25">
      <c r="A126" s="1"/>
      <c r="B126" s="16" t="s">
        <v>255</v>
      </c>
      <c r="C126" s="15" t="s">
        <v>265</v>
      </c>
      <c r="D126" s="15" t="s">
        <v>266</v>
      </c>
      <c r="E126" s="16" t="s">
        <v>26</v>
      </c>
      <c r="F126" s="17"/>
      <c r="G126" cm="1">
        <f t="array" ref="G126">IFERROR(_xlfn.XLOOKUP(Pedido891011121412131617181921192223[[#This Row],[Id de Producto]],[1]!Precios[[#All],[Id de Producto]],[1]!Precios[[#All],[Coste estándar]])*Pedido891011121412131617181921192223[[#This Row],[Pedido]],0)</f>
        <v>0</v>
      </c>
      <c r="H126" s="18">
        <v>0</v>
      </c>
      <c r="I126" s="16" t="s">
        <v>255</v>
      </c>
      <c r="J126" s="1"/>
      <c r="K126" s="1"/>
      <c r="L126" s="1"/>
      <c r="M126" s="1"/>
      <c r="N126" s="1"/>
    </row>
    <row r="127" spans="1:14" hidden="1" x14ac:dyDescent="0.25">
      <c r="A127" s="1"/>
      <c r="B127" s="16" t="s">
        <v>255</v>
      </c>
      <c r="C127" s="15" t="s">
        <v>267</v>
      </c>
      <c r="D127" s="15" t="s">
        <v>268</v>
      </c>
      <c r="E127" s="16" t="s">
        <v>22</v>
      </c>
      <c r="F127" s="17"/>
      <c r="G127" cm="1">
        <f t="array" ref="G127">IFERROR(_xlfn.XLOOKUP(Pedido891011121412131617181921192223[[#This Row],[Id de Producto]],[1]!Precios[[#All],[Id de Producto]],[1]!Precios[[#All],[Coste estándar]])*Pedido891011121412131617181921192223[[#This Row],[Pedido]],0)</f>
        <v>0</v>
      </c>
      <c r="H127" s="18">
        <v>0</v>
      </c>
      <c r="I127" s="16" t="s">
        <v>255</v>
      </c>
      <c r="J127" s="1"/>
      <c r="K127" s="1"/>
      <c r="L127" s="1"/>
      <c r="M127" s="1"/>
      <c r="N127" s="1"/>
    </row>
    <row r="128" spans="1:14" hidden="1" x14ac:dyDescent="0.25">
      <c r="A128" s="1"/>
      <c r="B128" s="16" t="s">
        <v>255</v>
      </c>
      <c r="C128" s="15" t="s">
        <v>269</v>
      </c>
      <c r="D128" s="15" t="s">
        <v>270</v>
      </c>
      <c r="E128" s="16" t="s">
        <v>120</v>
      </c>
      <c r="F128" s="17"/>
      <c r="G128" cm="1">
        <f t="array" ref="G128">IFERROR(_xlfn.XLOOKUP(Pedido891011121412131617181921192223[[#This Row],[Id de Producto]],[1]!Precios[[#All],[Id de Producto]],[1]!Precios[[#All],[Coste estándar]])*Pedido891011121412131617181921192223[[#This Row],[Pedido]],0)</f>
        <v>0</v>
      </c>
      <c r="H128" s="18">
        <v>0</v>
      </c>
      <c r="I128" s="16" t="s">
        <v>255</v>
      </c>
      <c r="J128" s="1"/>
      <c r="K128" s="1"/>
      <c r="L128" s="1"/>
      <c r="M128" s="1"/>
      <c r="N128" s="1"/>
    </row>
    <row r="129" spans="1:14" hidden="1" x14ac:dyDescent="0.25">
      <c r="A129" s="1"/>
      <c r="B129" s="16" t="s">
        <v>255</v>
      </c>
      <c r="C129" s="15" t="s">
        <v>271</v>
      </c>
      <c r="D129" s="15" t="s">
        <v>272</v>
      </c>
      <c r="E129" s="16" t="s">
        <v>120</v>
      </c>
      <c r="F129" s="17"/>
      <c r="G129" cm="1">
        <f t="array" ref="G129">IFERROR(_xlfn.XLOOKUP(Pedido891011121412131617181921192223[[#This Row],[Id de Producto]],[1]!Precios[[#All],[Id de Producto]],[1]!Precios[[#All],[Coste estándar]])*Pedido891011121412131617181921192223[[#This Row],[Pedido]],0)</f>
        <v>0</v>
      </c>
      <c r="H129" s="18">
        <v>0</v>
      </c>
      <c r="I129" s="16" t="s">
        <v>255</v>
      </c>
      <c r="J129" s="1"/>
      <c r="K129" s="1"/>
      <c r="L129" s="1"/>
      <c r="M129" s="1"/>
      <c r="N129" s="1"/>
    </row>
    <row r="130" spans="1:14" hidden="1" x14ac:dyDescent="0.25">
      <c r="A130" s="1"/>
      <c r="B130" s="15" t="s">
        <v>255</v>
      </c>
      <c r="C130" s="15" t="s">
        <v>273</v>
      </c>
      <c r="D130" s="15" t="s">
        <v>274</v>
      </c>
      <c r="E130" s="16" t="s">
        <v>22</v>
      </c>
      <c r="F130" s="17"/>
      <c r="G130" cm="1">
        <f t="array" ref="G130">IFERROR(_xlfn.XLOOKUP(Pedido891011121412131617181921192223[[#This Row],[Id de Producto]],[1]!Precios[[#All],[Id de Producto]],[1]!Precios[[#All],[Coste estándar]])*Pedido891011121412131617181921192223[[#This Row],[Pedido]],0)</f>
        <v>0</v>
      </c>
      <c r="H130" s="18">
        <v>0</v>
      </c>
      <c r="I130" s="16" t="s">
        <v>255</v>
      </c>
      <c r="J130" s="1"/>
      <c r="K130" s="1"/>
      <c r="L130" s="1"/>
      <c r="M130" s="1"/>
      <c r="N130" s="1"/>
    </row>
    <row r="131" spans="1:14" hidden="1" x14ac:dyDescent="0.25">
      <c r="A131" s="1"/>
      <c r="B131" s="16" t="s">
        <v>255</v>
      </c>
      <c r="C131" s="15" t="s">
        <v>275</v>
      </c>
      <c r="D131" s="15" t="s">
        <v>276</v>
      </c>
      <c r="E131" s="16" t="s">
        <v>22</v>
      </c>
      <c r="F131" s="17"/>
      <c r="G131" cm="1">
        <f t="array" ref="G131">IFERROR(_xlfn.XLOOKUP(Pedido891011121412131617181921192223[[#This Row],[Id de Producto]],[1]!Precios[[#All],[Id de Producto]],[1]!Precios[[#All],[Coste estándar]])*Pedido891011121412131617181921192223[[#This Row],[Pedido]],0)</f>
        <v>0</v>
      </c>
      <c r="H131" s="18">
        <v>0</v>
      </c>
      <c r="I131" s="16" t="s">
        <v>255</v>
      </c>
      <c r="J131" s="1"/>
      <c r="K131" s="1"/>
      <c r="L131" s="1"/>
      <c r="M131" s="1"/>
      <c r="N131" s="1"/>
    </row>
    <row r="132" spans="1:14" hidden="1" x14ac:dyDescent="0.25">
      <c r="A132" s="1"/>
      <c r="B132" s="16" t="s">
        <v>255</v>
      </c>
      <c r="C132" s="15" t="s">
        <v>277</v>
      </c>
      <c r="D132" s="15" t="s">
        <v>278</v>
      </c>
      <c r="E132" s="16" t="s">
        <v>22</v>
      </c>
      <c r="F132" s="17"/>
      <c r="G132" cm="1">
        <f t="array" ref="G132">IFERROR(_xlfn.XLOOKUP(Pedido891011121412131617181921192223[[#This Row],[Id de Producto]],[1]!Precios[[#All],[Id de Producto]],[1]!Precios[[#All],[Coste estándar]])*Pedido891011121412131617181921192223[[#This Row],[Pedido]],0)</f>
        <v>0</v>
      </c>
      <c r="H132" s="18">
        <v>0</v>
      </c>
      <c r="I132" s="16" t="s">
        <v>255</v>
      </c>
      <c r="J132" s="1"/>
      <c r="K132" s="1"/>
      <c r="L132" s="1"/>
      <c r="M132" s="1"/>
      <c r="N132" s="1"/>
    </row>
    <row r="133" spans="1:14" hidden="1" x14ac:dyDescent="0.25">
      <c r="A133" s="1"/>
      <c r="B133" s="15" t="s">
        <v>255</v>
      </c>
      <c r="C133" s="15" t="s">
        <v>279</v>
      </c>
      <c r="D133" s="15" t="s">
        <v>280</v>
      </c>
      <c r="E133" s="15" t="s">
        <v>22</v>
      </c>
      <c r="F133" s="17"/>
      <c r="G133" cm="1">
        <f t="array" ref="G133">IFERROR(_xlfn.XLOOKUP(Pedido891011121412131617181921192223[[#This Row],[Id de Producto]],[1]!Precios[[#All],[Id de Producto]],[1]!Precios[[#All],[Coste estándar]])*Pedido891011121412131617181921192223[[#This Row],[Pedido]],0)</f>
        <v>0</v>
      </c>
      <c r="H133" s="18">
        <v>0</v>
      </c>
      <c r="I133" s="16" t="s">
        <v>255</v>
      </c>
      <c r="J133" s="1"/>
      <c r="K133" s="1"/>
      <c r="L133" s="1"/>
      <c r="M133" s="1"/>
      <c r="N133" s="1"/>
    </row>
    <row r="134" spans="1:14" hidden="1" x14ac:dyDescent="0.25">
      <c r="A134" s="1"/>
      <c r="B134" s="15" t="s">
        <v>255</v>
      </c>
      <c r="C134" s="15" t="s">
        <v>281</v>
      </c>
      <c r="D134" s="15" t="s">
        <v>282</v>
      </c>
      <c r="E134" s="15" t="s">
        <v>18</v>
      </c>
      <c r="F134" s="17"/>
      <c r="G134" cm="1">
        <f t="array" ref="G134">IFERROR(_xlfn.XLOOKUP(Pedido891011121412131617181921192223[[#This Row],[Id de Producto]],[1]!Precios[[#All],[Id de Producto]],[1]!Precios[[#All],[Coste estándar]])*Pedido891011121412131617181921192223[[#This Row],[Pedido]],0)</f>
        <v>0</v>
      </c>
      <c r="H134" s="18">
        <v>0</v>
      </c>
      <c r="I134" s="16" t="s">
        <v>255</v>
      </c>
      <c r="J134" s="1"/>
      <c r="K134" s="1"/>
      <c r="L134" s="1"/>
      <c r="M134" s="1"/>
      <c r="N134" s="1"/>
    </row>
    <row r="135" spans="1:14" hidden="1" x14ac:dyDescent="0.25">
      <c r="A135" s="1"/>
      <c r="B135" s="16" t="s">
        <v>255</v>
      </c>
      <c r="C135" s="15" t="s">
        <v>283</v>
      </c>
      <c r="D135" s="15" t="s">
        <v>284</v>
      </c>
      <c r="E135" s="16" t="s">
        <v>26</v>
      </c>
      <c r="F135" s="17"/>
      <c r="G135" cm="1">
        <f t="array" ref="G135">IFERROR(_xlfn.XLOOKUP(Pedido891011121412131617181921192223[[#This Row],[Id de Producto]],[1]!Precios[[#All],[Id de Producto]],[1]!Precios[[#All],[Coste estándar]])*Pedido891011121412131617181921192223[[#This Row],[Pedido]],0)</f>
        <v>0</v>
      </c>
      <c r="H135" s="18">
        <v>0</v>
      </c>
      <c r="I135" s="16" t="s">
        <v>255</v>
      </c>
      <c r="J135" s="1"/>
      <c r="K135" s="1"/>
      <c r="L135" s="1"/>
      <c r="M135" s="1"/>
      <c r="N135" s="1"/>
    </row>
    <row r="136" spans="1:14" hidden="1" x14ac:dyDescent="0.25">
      <c r="A136" s="1"/>
      <c r="B136" s="15" t="s">
        <v>255</v>
      </c>
      <c r="C136" s="15" t="s">
        <v>285</v>
      </c>
      <c r="D136" s="15" t="s">
        <v>286</v>
      </c>
      <c r="E136" s="16" t="s">
        <v>26</v>
      </c>
      <c r="F136" s="17"/>
      <c r="G136" cm="1">
        <f t="array" ref="G136">IFERROR(_xlfn.XLOOKUP(Pedido891011121412131617181921192223[[#This Row],[Id de Producto]],[1]!Precios[[#All],[Id de Producto]],[1]!Precios[[#All],[Coste estándar]])*Pedido891011121412131617181921192223[[#This Row],[Pedido]],0)</f>
        <v>0</v>
      </c>
      <c r="H136" s="15">
        <v>0</v>
      </c>
      <c r="I136" s="15" t="s">
        <v>255</v>
      </c>
      <c r="J136" s="1"/>
      <c r="K136" s="1"/>
      <c r="L136" s="1"/>
      <c r="M136" s="1"/>
      <c r="N136" s="1"/>
    </row>
    <row r="137" spans="1:14" hidden="1" x14ac:dyDescent="0.25">
      <c r="A137" s="1"/>
      <c r="B137" s="16" t="s">
        <v>255</v>
      </c>
      <c r="C137" s="15" t="s">
        <v>287</v>
      </c>
      <c r="D137" s="15" t="s">
        <v>288</v>
      </c>
      <c r="E137" s="16" t="s">
        <v>120</v>
      </c>
      <c r="F137" s="17"/>
      <c r="G137" cm="1">
        <f t="array" ref="G137">IFERROR(_xlfn.XLOOKUP(Pedido891011121412131617181921192223[[#This Row],[Id de Producto]],[1]!Precios[[#All],[Id de Producto]],[1]!Precios[[#All],[Coste estándar]])*Pedido891011121412131617181921192223[[#This Row],[Pedido]],0)</f>
        <v>0</v>
      </c>
      <c r="H137" s="18">
        <v>0</v>
      </c>
      <c r="I137" s="16" t="s">
        <v>255</v>
      </c>
      <c r="J137" s="1"/>
      <c r="K137" s="1"/>
      <c r="L137" s="1"/>
      <c r="M137" s="1"/>
      <c r="N137" s="1"/>
    </row>
    <row r="138" spans="1:14" hidden="1" x14ac:dyDescent="0.25">
      <c r="A138" s="1"/>
      <c r="B138" s="16" t="s">
        <v>255</v>
      </c>
      <c r="C138" s="15" t="s">
        <v>289</v>
      </c>
      <c r="D138" s="15" t="s">
        <v>290</v>
      </c>
      <c r="E138" s="16" t="s">
        <v>26</v>
      </c>
      <c r="F138" s="17"/>
      <c r="G138" cm="1">
        <f t="array" ref="G138">IFERROR(_xlfn.XLOOKUP(Pedido891011121412131617181921192223[[#This Row],[Id de Producto]],[1]!Precios[[#All],[Id de Producto]],[1]!Precios[[#All],[Coste estándar]])*Pedido891011121412131617181921192223[[#This Row],[Pedido]],0)</f>
        <v>0</v>
      </c>
      <c r="H138" s="18">
        <v>0</v>
      </c>
      <c r="I138" s="16" t="s">
        <v>255</v>
      </c>
      <c r="J138" s="1"/>
      <c r="K138" s="1"/>
      <c r="L138" s="1"/>
      <c r="M138" s="1"/>
      <c r="N138" s="1"/>
    </row>
    <row r="139" spans="1:14" hidden="1" x14ac:dyDescent="0.25">
      <c r="A139" s="1"/>
      <c r="B139" s="16" t="s">
        <v>255</v>
      </c>
      <c r="C139" s="15" t="s">
        <v>291</v>
      </c>
      <c r="D139" s="15" t="s">
        <v>292</v>
      </c>
      <c r="E139" s="16" t="s">
        <v>26</v>
      </c>
      <c r="F139" s="17"/>
      <c r="G139" cm="1">
        <f t="array" ref="G139">IFERROR(_xlfn.XLOOKUP(Pedido891011121412131617181921192223[[#This Row],[Id de Producto]],[1]!Precios[[#All],[Id de Producto]],[1]!Precios[[#All],[Coste estándar]])*Pedido891011121412131617181921192223[[#This Row],[Pedido]],0)</f>
        <v>0</v>
      </c>
      <c r="H139" s="18">
        <v>0</v>
      </c>
      <c r="I139" s="16" t="s">
        <v>255</v>
      </c>
      <c r="J139" s="1"/>
      <c r="K139" s="1"/>
      <c r="L139" s="1"/>
      <c r="M139" s="1"/>
      <c r="N139" s="1"/>
    </row>
    <row r="140" spans="1:14" hidden="1" x14ac:dyDescent="0.25">
      <c r="A140" s="1"/>
      <c r="B140" s="16" t="s">
        <v>255</v>
      </c>
      <c r="C140" s="15" t="s">
        <v>293</v>
      </c>
      <c r="D140" s="15" t="s">
        <v>294</v>
      </c>
      <c r="E140" s="16" t="s">
        <v>18</v>
      </c>
      <c r="F140" s="17"/>
      <c r="G140" cm="1">
        <f t="array" ref="G140">IFERROR(_xlfn.XLOOKUP(Pedido891011121412131617181921192223[[#This Row],[Id de Producto]],[1]!Precios[[#All],[Id de Producto]],[1]!Precios[[#All],[Coste estándar]])*Pedido891011121412131617181921192223[[#This Row],[Pedido]],0)</f>
        <v>0</v>
      </c>
      <c r="H140" s="18">
        <v>0</v>
      </c>
      <c r="I140" s="16" t="s">
        <v>255</v>
      </c>
      <c r="J140" s="1"/>
      <c r="K140" s="1"/>
      <c r="L140" s="1"/>
      <c r="M140" s="1"/>
      <c r="N140" s="1"/>
    </row>
    <row r="141" spans="1:14" hidden="1" x14ac:dyDescent="0.25">
      <c r="A141" s="1"/>
      <c r="B141" s="16" t="s">
        <v>255</v>
      </c>
      <c r="C141" s="15" t="s">
        <v>295</v>
      </c>
      <c r="D141" s="15" t="s">
        <v>296</v>
      </c>
      <c r="E141" s="16" t="s">
        <v>22</v>
      </c>
      <c r="F141" s="17"/>
      <c r="G141" cm="1">
        <f t="array" ref="G141">IFERROR(_xlfn.XLOOKUP(Pedido891011121412131617181921192223[[#This Row],[Id de Producto]],[1]!Precios[[#All],[Id de Producto]],[1]!Precios[[#All],[Coste estándar]])*Pedido891011121412131617181921192223[[#This Row],[Pedido]],0)</f>
        <v>0</v>
      </c>
      <c r="H141" s="18">
        <v>0</v>
      </c>
      <c r="I141" s="16" t="s">
        <v>255</v>
      </c>
      <c r="J141" s="1"/>
      <c r="K141" s="1"/>
      <c r="L141" s="1"/>
      <c r="M141" s="1"/>
      <c r="N141" s="1"/>
    </row>
    <row r="142" spans="1:14" hidden="1" x14ac:dyDescent="0.25">
      <c r="A142" s="1"/>
      <c r="B142" s="16" t="s">
        <v>255</v>
      </c>
      <c r="C142" s="15" t="s">
        <v>297</v>
      </c>
      <c r="D142" s="15" t="s">
        <v>298</v>
      </c>
      <c r="E142" s="16" t="s">
        <v>26</v>
      </c>
      <c r="F142" s="17"/>
      <c r="G142" cm="1">
        <f t="array" ref="G142">IFERROR(_xlfn.XLOOKUP(Pedido891011121412131617181921192223[[#This Row],[Id de Producto]],[1]!Precios[[#All],[Id de Producto]],[1]!Precios[[#All],[Coste estándar]])*Pedido891011121412131617181921192223[[#This Row],[Pedido]],0)</f>
        <v>0</v>
      </c>
      <c r="H142" s="18">
        <v>0</v>
      </c>
      <c r="I142" s="16" t="s">
        <v>255</v>
      </c>
      <c r="J142" s="1"/>
      <c r="K142" s="1"/>
      <c r="L142" s="1"/>
      <c r="M142" s="1"/>
      <c r="N142" s="1"/>
    </row>
    <row r="143" spans="1:14" hidden="1" x14ac:dyDescent="0.25">
      <c r="A143" s="1"/>
      <c r="B143" s="15" t="s">
        <v>255</v>
      </c>
      <c r="C143" s="15" t="s">
        <v>299</v>
      </c>
      <c r="D143" s="15" t="s">
        <v>300</v>
      </c>
      <c r="E143" s="16" t="s">
        <v>22</v>
      </c>
      <c r="F143" s="17"/>
      <c r="G143" cm="1">
        <f t="array" ref="G143">IFERROR(_xlfn.XLOOKUP(Pedido891011121412131617181921192223[[#This Row],[Id de Producto]],[1]!Precios[[#All],[Id de Producto]],[1]!Precios[[#All],[Coste estándar]])*Pedido891011121412131617181921192223[[#This Row],[Pedido]],0)</f>
        <v>0</v>
      </c>
      <c r="H143" s="15">
        <v>0</v>
      </c>
      <c r="I143" s="15" t="s">
        <v>255</v>
      </c>
      <c r="J143" s="1"/>
      <c r="K143" s="1"/>
      <c r="L143" s="1"/>
      <c r="M143" s="1"/>
      <c r="N143" s="1"/>
    </row>
    <row r="144" spans="1:14" hidden="1" x14ac:dyDescent="0.25">
      <c r="A144" s="1"/>
      <c r="B144" s="16" t="s">
        <v>255</v>
      </c>
      <c r="C144" s="15" t="s">
        <v>301</v>
      </c>
      <c r="D144" s="15" t="s">
        <v>302</v>
      </c>
      <c r="E144" s="16" t="s">
        <v>26</v>
      </c>
      <c r="F144" s="17"/>
      <c r="G144" cm="1">
        <f t="array" ref="G144">IFERROR(_xlfn.XLOOKUP(Pedido891011121412131617181921192223[[#This Row],[Id de Producto]],[1]!Precios[[#All],[Id de Producto]],[1]!Precios[[#All],[Coste estándar]])*Pedido891011121412131617181921192223[[#This Row],[Pedido]],0)</f>
        <v>0</v>
      </c>
      <c r="H144" s="18">
        <v>0</v>
      </c>
      <c r="I144" s="16" t="s">
        <v>255</v>
      </c>
      <c r="J144" s="1"/>
      <c r="K144" s="1"/>
      <c r="L144" s="1"/>
      <c r="M144" s="1"/>
      <c r="N144" s="1"/>
    </row>
    <row r="145" spans="1:14" hidden="1" x14ac:dyDescent="0.25">
      <c r="A145" s="1"/>
      <c r="B145" s="15" t="s">
        <v>255</v>
      </c>
      <c r="C145" s="15" t="s">
        <v>303</v>
      </c>
      <c r="D145" s="15" t="s">
        <v>304</v>
      </c>
      <c r="E145" s="15" t="s">
        <v>26</v>
      </c>
      <c r="F145" s="17"/>
      <c r="G145" cm="1">
        <f t="array" ref="G145">IFERROR(_xlfn.XLOOKUP(Pedido891011121412131617181921192223[[#This Row],[Id de Producto]],[1]!Precios[[#All],[Id de Producto]],[1]!Precios[[#All],[Coste estándar]])*Pedido891011121412131617181921192223[[#This Row],[Pedido]],0)</f>
        <v>0</v>
      </c>
      <c r="H145" s="18">
        <v>0</v>
      </c>
      <c r="I145" s="16" t="s">
        <v>255</v>
      </c>
      <c r="J145" s="1"/>
      <c r="K145" s="1"/>
      <c r="L145" s="1"/>
      <c r="M145" s="1"/>
      <c r="N145" s="1"/>
    </row>
    <row r="146" spans="1:14" hidden="1" x14ac:dyDescent="0.25">
      <c r="A146" s="1"/>
      <c r="B146" s="16" t="s">
        <v>255</v>
      </c>
      <c r="C146" s="15" t="s">
        <v>305</v>
      </c>
      <c r="D146" s="15" t="s">
        <v>306</v>
      </c>
      <c r="E146" s="16" t="s">
        <v>26</v>
      </c>
      <c r="F146" s="17"/>
      <c r="G146" cm="1">
        <f t="array" ref="G146">IFERROR(_xlfn.XLOOKUP(Pedido891011121412131617181921192223[[#This Row],[Id de Producto]],[1]!Precios[[#All],[Id de Producto]],[1]!Precios[[#All],[Coste estándar]])*Pedido891011121412131617181921192223[[#This Row],[Pedido]],0)</f>
        <v>0</v>
      </c>
      <c r="H146" s="18">
        <v>0</v>
      </c>
      <c r="I146" s="16" t="s">
        <v>255</v>
      </c>
      <c r="J146" s="1"/>
      <c r="K146" s="1"/>
      <c r="L146" s="1"/>
      <c r="M146" s="1"/>
      <c r="N146" s="1"/>
    </row>
    <row r="147" spans="1:14" hidden="1" x14ac:dyDescent="0.25">
      <c r="A147" s="1"/>
      <c r="B147" s="16" t="s">
        <v>255</v>
      </c>
      <c r="C147" s="15" t="s">
        <v>307</v>
      </c>
      <c r="D147" s="15" t="s">
        <v>308</v>
      </c>
      <c r="E147" s="16" t="s">
        <v>26</v>
      </c>
      <c r="F147" s="17"/>
      <c r="G147" cm="1">
        <f t="array" ref="G147">IFERROR(_xlfn.XLOOKUP(Pedido891011121412131617181921192223[[#This Row],[Id de Producto]],[1]!Precios[[#All],[Id de Producto]],[1]!Precios[[#All],[Coste estándar]])*Pedido891011121412131617181921192223[[#This Row],[Pedido]],0)</f>
        <v>0</v>
      </c>
      <c r="H147" s="18">
        <v>0</v>
      </c>
      <c r="I147" s="16" t="s">
        <v>255</v>
      </c>
      <c r="J147" s="1"/>
      <c r="K147" s="1"/>
      <c r="L147" s="1"/>
      <c r="M147" s="1"/>
      <c r="N147" s="1"/>
    </row>
    <row r="148" spans="1:14" hidden="1" x14ac:dyDescent="0.25">
      <c r="A148" s="1"/>
      <c r="B148" s="16" t="s">
        <v>255</v>
      </c>
      <c r="C148" s="15" t="s">
        <v>309</v>
      </c>
      <c r="D148" s="15" t="s">
        <v>310</v>
      </c>
      <c r="E148" s="16" t="s">
        <v>22</v>
      </c>
      <c r="F148" s="17"/>
      <c r="G148" cm="1">
        <f t="array" ref="G148">IFERROR(_xlfn.XLOOKUP(Pedido891011121412131617181921192223[[#This Row],[Id de Producto]],[1]!Precios[[#All],[Id de Producto]],[1]!Precios[[#All],[Coste estándar]])*Pedido891011121412131617181921192223[[#This Row],[Pedido]],0)</f>
        <v>0</v>
      </c>
      <c r="H148" s="18">
        <v>0</v>
      </c>
      <c r="I148" s="16" t="s">
        <v>255</v>
      </c>
      <c r="J148" s="1"/>
      <c r="K148" s="1"/>
      <c r="L148" s="1"/>
      <c r="M148" s="1"/>
      <c r="N148" s="1"/>
    </row>
    <row r="149" spans="1:14" hidden="1" x14ac:dyDescent="0.25">
      <c r="A149" s="1"/>
      <c r="B149" s="16" t="s">
        <v>255</v>
      </c>
      <c r="C149" s="15" t="s">
        <v>311</v>
      </c>
      <c r="D149" s="15" t="s">
        <v>312</v>
      </c>
      <c r="E149" s="16" t="s">
        <v>26</v>
      </c>
      <c r="F149" s="17"/>
      <c r="G149" cm="1">
        <f t="array" ref="G149">IFERROR(_xlfn.XLOOKUP(Pedido891011121412131617181921192223[[#This Row],[Id de Producto]],[1]!Precios[[#All],[Id de Producto]],[1]!Precios[[#All],[Coste estándar]])*Pedido891011121412131617181921192223[[#This Row],[Pedido]],0)</f>
        <v>0</v>
      </c>
      <c r="H149" s="18">
        <v>0</v>
      </c>
      <c r="I149" s="16" t="s">
        <v>255</v>
      </c>
      <c r="J149" s="1"/>
      <c r="K149" s="1"/>
      <c r="L149" s="1"/>
      <c r="M149" s="1"/>
      <c r="N149" s="1"/>
    </row>
    <row r="150" spans="1:14" hidden="1" x14ac:dyDescent="0.25">
      <c r="A150" s="1"/>
      <c r="B150" s="16" t="s">
        <v>255</v>
      </c>
      <c r="C150" s="15" t="s">
        <v>313</v>
      </c>
      <c r="D150" s="15" t="s">
        <v>314</v>
      </c>
      <c r="E150" s="16" t="s">
        <v>18</v>
      </c>
      <c r="F150" s="17"/>
      <c r="G150" cm="1">
        <f t="array" ref="G150">IFERROR(_xlfn.XLOOKUP(Pedido891011121412131617181921192223[[#This Row],[Id de Producto]],[1]!Precios[[#All],[Id de Producto]],[1]!Precios[[#All],[Coste estándar]])*Pedido891011121412131617181921192223[[#This Row],[Pedido]],0)</f>
        <v>0</v>
      </c>
      <c r="H150" s="18">
        <v>0</v>
      </c>
      <c r="I150" s="16" t="s">
        <v>255</v>
      </c>
      <c r="J150" s="1"/>
      <c r="K150" s="1"/>
      <c r="L150" s="1"/>
      <c r="M150" s="1"/>
      <c r="N150" s="1"/>
    </row>
    <row r="151" spans="1:14" hidden="1" x14ac:dyDescent="0.25">
      <c r="A151" s="1"/>
      <c r="B151" s="16" t="s">
        <v>255</v>
      </c>
      <c r="C151" s="15" t="s">
        <v>315</v>
      </c>
      <c r="D151" s="15" t="s">
        <v>316</v>
      </c>
      <c r="E151" s="16" t="s">
        <v>26</v>
      </c>
      <c r="F151" s="17"/>
      <c r="G151" cm="1">
        <f t="array" ref="G151">IFERROR(_xlfn.XLOOKUP(Pedido891011121412131617181921192223[[#This Row],[Id de Producto]],[1]!Precios[[#All],[Id de Producto]],[1]!Precios[[#All],[Coste estándar]])*Pedido891011121412131617181921192223[[#This Row],[Pedido]],0)</f>
        <v>0</v>
      </c>
      <c r="H151" s="18">
        <v>0</v>
      </c>
      <c r="I151" s="16" t="s">
        <v>255</v>
      </c>
      <c r="J151" s="1"/>
      <c r="K151" s="1"/>
      <c r="L151" s="1"/>
      <c r="M151" s="1"/>
      <c r="N151" s="1"/>
    </row>
    <row r="152" spans="1:14" hidden="1" x14ac:dyDescent="0.25">
      <c r="A152" s="1"/>
      <c r="B152" s="16" t="s">
        <v>255</v>
      </c>
      <c r="C152" s="15" t="s">
        <v>317</v>
      </c>
      <c r="D152" s="15" t="s">
        <v>318</v>
      </c>
      <c r="E152" s="16" t="s">
        <v>26</v>
      </c>
      <c r="F152" s="17"/>
      <c r="G152" cm="1">
        <f t="array" ref="G152">IFERROR(_xlfn.XLOOKUP(Pedido891011121412131617181921192223[[#This Row],[Id de Producto]],[1]!Precios[[#All],[Id de Producto]],[1]!Precios[[#All],[Coste estándar]])*Pedido891011121412131617181921192223[[#This Row],[Pedido]],0)</f>
        <v>0</v>
      </c>
      <c r="H152" s="18">
        <v>0</v>
      </c>
      <c r="I152" s="16" t="s">
        <v>255</v>
      </c>
      <c r="J152" s="1"/>
      <c r="K152" s="1"/>
      <c r="L152" s="1"/>
      <c r="M152" s="1"/>
      <c r="N152" s="1"/>
    </row>
    <row r="153" spans="1:14" hidden="1" x14ac:dyDescent="0.25">
      <c r="A153" s="1"/>
      <c r="B153" s="15" t="s">
        <v>255</v>
      </c>
      <c r="C153" s="15" t="s">
        <v>319</v>
      </c>
      <c r="D153" s="15" t="s">
        <v>320</v>
      </c>
      <c r="E153" s="16" t="s">
        <v>22</v>
      </c>
      <c r="F153" s="17"/>
      <c r="G153" cm="1">
        <f t="array" ref="G153">IFERROR(_xlfn.XLOOKUP(Pedido891011121412131617181921192223[[#This Row],[Id de Producto]],[1]!Precios[[#All],[Id de Producto]],[1]!Precios[[#All],[Coste estándar]])*Pedido891011121412131617181921192223[[#This Row],[Pedido]],0)</f>
        <v>0</v>
      </c>
      <c r="H153" s="15">
        <v>0</v>
      </c>
      <c r="I153" s="15" t="s">
        <v>255</v>
      </c>
      <c r="J153" s="1"/>
      <c r="K153" s="1"/>
      <c r="L153" s="1"/>
      <c r="M153" s="1"/>
      <c r="N153" s="1"/>
    </row>
    <row r="154" spans="1:14" hidden="1" x14ac:dyDescent="0.25">
      <c r="A154" s="1"/>
      <c r="B154" s="16" t="s">
        <v>255</v>
      </c>
      <c r="C154" s="15" t="s">
        <v>321</v>
      </c>
      <c r="D154" s="15" t="s">
        <v>322</v>
      </c>
      <c r="E154" s="16" t="s">
        <v>18</v>
      </c>
      <c r="F154" s="17"/>
      <c r="G154" cm="1">
        <f t="array" ref="G154">IFERROR(_xlfn.XLOOKUP(Pedido891011121412131617181921192223[[#This Row],[Id de Producto]],[1]!Precios[[#All],[Id de Producto]],[1]!Precios[[#All],[Coste estándar]])*Pedido891011121412131617181921192223[[#This Row],[Pedido]],0)</f>
        <v>0</v>
      </c>
      <c r="H154" s="18">
        <v>0</v>
      </c>
      <c r="I154" s="16" t="s">
        <v>255</v>
      </c>
      <c r="J154" s="1"/>
      <c r="K154" s="1"/>
      <c r="L154" s="1"/>
      <c r="M154" s="1"/>
      <c r="N154" s="1"/>
    </row>
    <row r="155" spans="1:14" hidden="1" x14ac:dyDescent="0.25">
      <c r="A155" s="1"/>
      <c r="B155" s="15" t="s">
        <v>255</v>
      </c>
      <c r="C155" s="15" t="s">
        <v>323</v>
      </c>
      <c r="D155" s="15" t="s">
        <v>324</v>
      </c>
      <c r="E155" s="15" t="s">
        <v>26</v>
      </c>
      <c r="F155" s="17"/>
      <c r="G155" cm="1">
        <f t="array" ref="G155">IFERROR(_xlfn.XLOOKUP(Pedido891011121412131617181921192223[[#This Row],[Id de Producto]],[1]!Precios[[#All],[Id de Producto]],[1]!Precios[[#All],[Coste estándar]])*Pedido891011121412131617181921192223[[#This Row],[Pedido]],0)</f>
        <v>0</v>
      </c>
      <c r="H155" s="18">
        <v>0</v>
      </c>
      <c r="I155" s="16" t="s">
        <v>255</v>
      </c>
      <c r="J155" s="1"/>
      <c r="K155" s="1"/>
      <c r="L155" s="1"/>
      <c r="M155" s="1"/>
      <c r="N155" s="1"/>
    </row>
    <row r="156" spans="1:14" hidden="1" x14ac:dyDescent="0.25">
      <c r="A156" s="1"/>
      <c r="B156" s="16" t="s">
        <v>255</v>
      </c>
      <c r="C156" s="15" t="s">
        <v>325</v>
      </c>
      <c r="D156" s="15" t="s">
        <v>326</v>
      </c>
      <c r="E156" s="16" t="s">
        <v>18</v>
      </c>
      <c r="F156" s="17"/>
      <c r="G156" cm="1">
        <f t="array" ref="G156">IFERROR(_xlfn.XLOOKUP(Pedido891011121412131617181921192223[[#This Row],[Id de Producto]],[1]!Precios[[#All],[Id de Producto]],[1]!Precios[[#All],[Coste estándar]])*Pedido891011121412131617181921192223[[#This Row],[Pedido]],0)</f>
        <v>0</v>
      </c>
      <c r="H156" s="18">
        <v>0</v>
      </c>
      <c r="I156" s="16" t="s">
        <v>255</v>
      </c>
      <c r="J156" s="1"/>
      <c r="K156" s="1"/>
      <c r="L156" s="1"/>
      <c r="M156" s="1"/>
      <c r="N156" s="1"/>
    </row>
    <row r="157" spans="1:14" hidden="1" x14ac:dyDescent="0.25">
      <c r="A157" s="1"/>
      <c r="B157" s="16" t="s">
        <v>255</v>
      </c>
      <c r="C157" s="15" t="s">
        <v>327</v>
      </c>
      <c r="D157" s="15" t="s">
        <v>328</v>
      </c>
      <c r="E157" s="16" t="s">
        <v>26</v>
      </c>
      <c r="F157" s="17"/>
      <c r="G157" cm="1">
        <f t="array" ref="G157">IFERROR(_xlfn.XLOOKUP(Pedido891011121412131617181921192223[[#This Row],[Id de Producto]],[1]!Precios[[#All],[Id de Producto]],[1]!Precios[[#All],[Coste estándar]])*Pedido891011121412131617181921192223[[#This Row],[Pedido]],0)</f>
        <v>0</v>
      </c>
      <c r="H157" s="18">
        <v>0</v>
      </c>
      <c r="I157" s="16" t="s">
        <v>255</v>
      </c>
      <c r="J157" s="1"/>
      <c r="K157" s="1"/>
      <c r="L157" s="1"/>
      <c r="M157" s="1"/>
      <c r="N157" s="1"/>
    </row>
    <row r="158" spans="1:14" hidden="1" x14ac:dyDescent="0.25">
      <c r="A158" s="1"/>
      <c r="B158" s="16" t="s">
        <v>255</v>
      </c>
      <c r="C158" s="15" t="s">
        <v>329</v>
      </c>
      <c r="D158" s="15" t="s">
        <v>330</v>
      </c>
      <c r="E158" s="16" t="s">
        <v>26</v>
      </c>
      <c r="F158" s="17"/>
      <c r="G158" cm="1">
        <f t="array" ref="G158">IFERROR(_xlfn.XLOOKUP(Pedido891011121412131617181921192223[[#This Row],[Id de Producto]],[1]!Precios[[#All],[Id de Producto]],[1]!Precios[[#All],[Coste estándar]])*Pedido891011121412131617181921192223[[#This Row],[Pedido]],0)</f>
        <v>0</v>
      </c>
      <c r="H158" s="18">
        <v>0</v>
      </c>
      <c r="I158" s="16" t="s">
        <v>255</v>
      </c>
      <c r="J158" s="1"/>
      <c r="K158" s="1"/>
      <c r="L158" s="1"/>
      <c r="M158" s="1"/>
      <c r="N158" s="1"/>
    </row>
    <row r="159" spans="1:14" hidden="1" x14ac:dyDescent="0.25">
      <c r="A159" s="1"/>
      <c r="B159" s="16" t="s">
        <v>255</v>
      </c>
      <c r="C159" s="15" t="s">
        <v>331</v>
      </c>
      <c r="D159" s="15" t="s">
        <v>332</v>
      </c>
      <c r="E159" s="16" t="s">
        <v>26</v>
      </c>
      <c r="F159" s="17"/>
      <c r="G159" cm="1">
        <f t="array" ref="G159">IFERROR(_xlfn.XLOOKUP(Pedido891011121412131617181921192223[[#This Row],[Id de Producto]],[1]!Precios[[#All],[Id de Producto]],[1]!Precios[[#All],[Coste estándar]])*Pedido891011121412131617181921192223[[#This Row],[Pedido]],0)</f>
        <v>0</v>
      </c>
      <c r="H159" s="18">
        <v>0</v>
      </c>
      <c r="I159" s="16" t="s">
        <v>255</v>
      </c>
      <c r="J159" s="1"/>
      <c r="K159" s="1"/>
      <c r="L159" s="1"/>
      <c r="M159" s="1"/>
      <c r="N159" s="1"/>
    </row>
    <row r="160" spans="1:14" hidden="1" x14ac:dyDescent="0.25">
      <c r="A160" s="1"/>
      <c r="B160" s="16" t="s">
        <v>255</v>
      </c>
      <c r="C160" s="15" t="s">
        <v>333</v>
      </c>
      <c r="D160" s="15" t="s">
        <v>334</v>
      </c>
      <c r="E160" s="16" t="s">
        <v>26</v>
      </c>
      <c r="F160" s="17"/>
      <c r="G160" cm="1">
        <f t="array" ref="G160">IFERROR(_xlfn.XLOOKUP(Pedido891011121412131617181921192223[[#This Row],[Id de Producto]],[1]!Precios[[#All],[Id de Producto]],[1]!Precios[[#All],[Coste estándar]])*Pedido891011121412131617181921192223[[#This Row],[Pedido]],0)</f>
        <v>0</v>
      </c>
      <c r="H160" s="18">
        <v>0</v>
      </c>
      <c r="I160" s="16" t="s">
        <v>255</v>
      </c>
      <c r="J160" s="1"/>
      <c r="K160" s="1"/>
      <c r="L160" s="1"/>
      <c r="M160" s="1"/>
      <c r="N160" s="1"/>
    </row>
    <row r="161" spans="1:14" hidden="1" x14ac:dyDescent="0.25">
      <c r="A161" s="1"/>
      <c r="B161" s="15" t="s">
        <v>255</v>
      </c>
      <c r="C161" s="15" t="s">
        <v>335</v>
      </c>
      <c r="D161" s="15" t="s">
        <v>336</v>
      </c>
      <c r="E161" s="15" t="s">
        <v>22</v>
      </c>
      <c r="F161" s="17"/>
      <c r="G161" cm="1">
        <f t="array" ref="G161">IFERROR(_xlfn.XLOOKUP(Pedido891011121412131617181921192223[[#This Row],[Id de Producto]],[1]!Precios[[#All],[Id de Producto]],[1]!Precios[[#All],[Coste estándar]])*Pedido891011121412131617181921192223[[#This Row],[Pedido]],0)</f>
        <v>0</v>
      </c>
      <c r="H161" s="18">
        <v>0</v>
      </c>
      <c r="I161" s="16" t="s">
        <v>255</v>
      </c>
      <c r="J161" s="1"/>
      <c r="K161" s="1"/>
      <c r="L161" s="1"/>
      <c r="M161" s="1"/>
      <c r="N161" s="1"/>
    </row>
    <row r="162" spans="1:14" hidden="1" x14ac:dyDescent="0.25">
      <c r="A162" s="1"/>
      <c r="B162" s="16" t="s">
        <v>255</v>
      </c>
      <c r="C162" s="15" t="s">
        <v>337</v>
      </c>
      <c r="D162" s="15" t="s">
        <v>338</v>
      </c>
      <c r="E162" s="16" t="s">
        <v>26</v>
      </c>
      <c r="F162" s="17"/>
      <c r="G162" cm="1">
        <f t="array" ref="G162">IFERROR(_xlfn.XLOOKUP(Pedido891011121412131617181921192223[[#This Row],[Id de Producto]],[1]!Precios[[#All],[Id de Producto]],[1]!Precios[[#All],[Coste estándar]])*Pedido891011121412131617181921192223[[#This Row],[Pedido]],0)</f>
        <v>0</v>
      </c>
      <c r="H162" s="18">
        <v>0</v>
      </c>
      <c r="I162" s="16" t="s">
        <v>255</v>
      </c>
      <c r="J162" s="1"/>
      <c r="K162" s="1"/>
      <c r="L162" s="1"/>
      <c r="M162" s="1"/>
      <c r="N162" s="1"/>
    </row>
    <row r="163" spans="1:14" hidden="1" x14ac:dyDescent="0.25">
      <c r="A163" s="1"/>
      <c r="B163" s="16" t="s">
        <v>255</v>
      </c>
      <c r="C163" s="15" t="s">
        <v>339</v>
      </c>
      <c r="D163" s="15" t="s">
        <v>340</v>
      </c>
      <c r="E163" s="16" t="s">
        <v>22</v>
      </c>
      <c r="F163" s="17"/>
      <c r="G163" cm="1">
        <f t="array" ref="G163">IFERROR(_xlfn.XLOOKUP(Pedido891011121412131617181921192223[[#This Row],[Id de Producto]],[1]!Precios[[#All],[Id de Producto]],[1]!Precios[[#All],[Coste estándar]])*Pedido891011121412131617181921192223[[#This Row],[Pedido]],0)</f>
        <v>0</v>
      </c>
      <c r="H163" s="18">
        <v>0</v>
      </c>
      <c r="I163" s="16" t="s">
        <v>255</v>
      </c>
      <c r="J163" s="1"/>
      <c r="K163" s="1"/>
      <c r="L163" s="1"/>
      <c r="M163" s="1"/>
      <c r="N163" s="1"/>
    </row>
    <row r="164" spans="1:14" hidden="1" x14ac:dyDescent="0.25">
      <c r="A164" s="1"/>
      <c r="B164" s="16" t="s">
        <v>255</v>
      </c>
      <c r="C164" s="15" t="s">
        <v>341</v>
      </c>
      <c r="D164" s="15" t="s">
        <v>342</v>
      </c>
      <c r="E164" s="16" t="s">
        <v>26</v>
      </c>
      <c r="F164" s="17"/>
      <c r="G164" cm="1">
        <f t="array" ref="G164">IFERROR(_xlfn.XLOOKUP(Pedido891011121412131617181921192223[[#This Row],[Id de Producto]],[1]!Precios[[#All],[Id de Producto]],[1]!Precios[[#All],[Coste estándar]])*Pedido891011121412131617181921192223[[#This Row],[Pedido]],0)</f>
        <v>0</v>
      </c>
      <c r="H164" s="18">
        <v>0</v>
      </c>
      <c r="I164" s="16" t="s">
        <v>255</v>
      </c>
      <c r="J164" s="1"/>
      <c r="K164" s="1"/>
      <c r="L164" s="1"/>
      <c r="M164" s="1"/>
      <c r="N164" s="1"/>
    </row>
    <row r="165" spans="1:14" hidden="1" x14ac:dyDescent="0.25">
      <c r="A165" s="1"/>
      <c r="B165" s="16" t="s">
        <v>255</v>
      </c>
      <c r="C165" s="15" t="s">
        <v>343</v>
      </c>
      <c r="D165" s="15" t="s">
        <v>344</v>
      </c>
      <c r="E165" s="16" t="s">
        <v>22</v>
      </c>
      <c r="F165" s="17"/>
      <c r="G165" cm="1">
        <f t="array" ref="G165">IFERROR(_xlfn.XLOOKUP(Pedido891011121412131617181921192223[[#This Row],[Id de Producto]],[1]!Precios[[#All],[Id de Producto]],[1]!Precios[[#All],[Coste estándar]])*Pedido891011121412131617181921192223[[#This Row],[Pedido]],0)</f>
        <v>0</v>
      </c>
      <c r="H165" s="18">
        <v>0</v>
      </c>
      <c r="I165" s="16" t="s">
        <v>255</v>
      </c>
      <c r="J165" s="1"/>
      <c r="K165" s="1"/>
      <c r="L165" s="1"/>
      <c r="M165" s="1"/>
      <c r="N165" s="1"/>
    </row>
    <row r="166" spans="1:14" hidden="1" x14ac:dyDescent="0.25">
      <c r="A166" s="1"/>
      <c r="B166" s="16" t="s">
        <v>255</v>
      </c>
      <c r="C166" s="15" t="s">
        <v>345</v>
      </c>
      <c r="D166" s="15" t="s">
        <v>346</v>
      </c>
      <c r="E166" s="16" t="s">
        <v>26</v>
      </c>
      <c r="F166" s="17"/>
      <c r="G166" cm="1">
        <f t="array" ref="G166">IFERROR(_xlfn.XLOOKUP(Pedido891011121412131617181921192223[[#This Row],[Id de Producto]],[1]!Precios[[#All],[Id de Producto]],[1]!Precios[[#All],[Coste estándar]])*Pedido891011121412131617181921192223[[#This Row],[Pedido]],0)</f>
        <v>0</v>
      </c>
      <c r="H166" s="18">
        <v>0</v>
      </c>
      <c r="I166" s="16" t="s">
        <v>255</v>
      </c>
      <c r="J166" s="1"/>
      <c r="K166" s="1"/>
      <c r="L166" s="1"/>
      <c r="M166" s="1"/>
      <c r="N166" s="1"/>
    </row>
    <row r="167" spans="1:14" hidden="1" x14ac:dyDescent="0.25">
      <c r="A167" s="1"/>
      <c r="B167" s="16" t="s">
        <v>255</v>
      </c>
      <c r="C167" s="15" t="s">
        <v>347</v>
      </c>
      <c r="D167" s="15" t="s">
        <v>348</v>
      </c>
      <c r="E167" s="16" t="s">
        <v>26</v>
      </c>
      <c r="F167" s="17"/>
      <c r="G167" cm="1">
        <f t="array" ref="G167">IFERROR(_xlfn.XLOOKUP(Pedido891011121412131617181921192223[[#This Row],[Id de Producto]],[1]!Precios[[#All],[Id de Producto]],[1]!Precios[[#All],[Coste estándar]])*Pedido891011121412131617181921192223[[#This Row],[Pedido]],0)</f>
        <v>0</v>
      </c>
      <c r="H167" s="18">
        <v>0</v>
      </c>
      <c r="I167" s="16" t="s">
        <v>255</v>
      </c>
      <c r="J167" s="1"/>
      <c r="K167" s="1"/>
      <c r="L167" s="1"/>
      <c r="M167" s="1"/>
      <c r="N167" s="1"/>
    </row>
    <row r="168" spans="1:14" hidden="1" x14ac:dyDescent="0.25">
      <c r="A168" s="1"/>
      <c r="B168" s="16" t="s">
        <v>255</v>
      </c>
      <c r="C168" s="15" t="s">
        <v>349</v>
      </c>
      <c r="D168" s="15" t="s">
        <v>350</v>
      </c>
      <c r="E168" s="16" t="s">
        <v>18</v>
      </c>
      <c r="F168" s="17"/>
      <c r="G168" cm="1">
        <f t="array" ref="G168">IFERROR(_xlfn.XLOOKUP(Pedido891011121412131617181921192223[[#This Row],[Id de Producto]],[1]!Precios[[#All],[Id de Producto]],[1]!Precios[[#All],[Coste estándar]])*Pedido891011121412131617181921192223[[#This Row],[Pedido]],0)</f>
        <v>0</v>
      </c>
      <c r="H168" s="18">
        <v>0</v>
      </c>
      <c r="I168" s="16" t="s">
        <v>255</v>
      </c>
      <c r="J168" s="1"/>
      <c r="K168" s="1"/>
      <c r="L168" s="1"/>
      <c r="M168" s="1"/>
      <c r="N168" s="1"/>
    </row>
    <row r="169" spans="1:14" hidden="1" x14ac:dyDescent="0.25">
      <c r="A169" s="1"/>
      <c r="B169" s="16" t="s">
        <v>255</v>
      </c>
      <c r="C169" s="15" t="s">
        <v>351</v>
      </c>
      <c r="D169" s="15" t="s">
        <v>352</v>
      </c>
      <c r="E169" s="16" t="s">
        <v>18</v>
      </c>
      <c r="F169" s="17"/>
      <c r="G169" cm="1">
        <f t="array" ref="G169">IFERROR(_xlfn.XLOOKUP(Pedido891011121412131617181921192223[[#This Row],[Id de Producto]],[1]!Precios[[#All],[Id de Producto]],[1]!Precios[[#All],[Coste estándar]])*Pedido891011121412131617181921192223[[#This Row],[Pedido]],0)</f>
        <v>0</v>
      </c>
      <c r="H169" s="18">
        <v>0</v>
      </c>
      <c r="I169" s="16" t="s">
        <v>255</v>
      </c>
      <c r="J169" s="1"/>
      <c r="K169" s="1"/>
      <c r="L169" s="1"/>
      <c r="M169" s="1"/>
      <c r="N169" s="1"/>
    </row>
    <row r="170" spans="1:14" hidden="1" x14ac:dyDescent="0.25">
      <c r="A170" s="1"/>
      <c r="B170" s="16" t="s">
        <v>255</v>
      </c>
      <c r="C170" s="15" t="s">
        <v>353</v>
      </c>
      <c r="D170" s="15" t="s">
        <v>354</v>
      </c>
      <c r="E170" s="16" t="s">
        <v>18</v>
      </c>
      <c r="F170" s="17"/>
      <c r="G170" cm="1">
        <f t="array" ref="G170">IFERROR(_xlfn.XLOOKUP(Pedido891011121412131617181921192223[[#This Row],[Id de Producto]],[1]!Precios[[#All],[Id de Producto]],[1]!Precios[[#All],[Coste estándar]])*Pedido891011121412131617181921192223[[#This Row],[Pedido]],0)</f>
        <v>0</v>
      </c>
      <c r="H170" s="18">
        <v>0</v>
      </c>
      <c r="I170" s="16" t="s">
        <v>255</v>
      </c>
      <c r="J170" s="1"/>
      <c r="K170" s="1"/>
      <c r="L170" s="1"/>
      <c r="M170" s="1"/>
      <c r="N170" s="1"/>
    </row>
    <row r="171" spans="1:14" hidden="1" x14ac:dyDescent="0.25">
      <c r="A171" s="1"/>
      <c r="B171" s="16" t="s">
        <v>255</v>
      </c>
      <c r="C171" s="15" t="s">
        <v>355</v>
      </c>
      <c r="D171" s="15" t="s">
        <v>356</v>
      </c>
      <c r="E171" s="16" t="s">
        <v>26</v>
      </c>
      <c r="F171" s="17"/>
      <c r="G171" cm="1">
        <f t="array" ref="G171">IFERROR(_xlfn.XLOOKUP(Pedido891011121412131617181921192223[[#This Row],[Id de Producto]],[1]!Precios[[#All],[Id de Producto]],[1]!Precios[[#All],[Coste estándar]])*Pedido891011121412131617181921192223[[#This Row],[Pedido]],0)</f>
        <v>0</v>
      </c>
      <c r="H171" s="18">
        <v>0</v>
      </c>
      <c r="I171" s="16" t="s">
        <v>255</v>
      </c>
      <c r="J171" s="1"/>
      <c r="K171" s="1"/>
      <c r="L171" s="1"/>
      <c r="M171" s="1"/>
      <c r="N171" s="1"/>
    </row>
    <row r="172" spans="1:14" hidden="1" x14ac:dyDescent="0.25">
      <c r="A172" s="1"/>
      <c r="B172" s="16" t="s">
        <v>255</v>
      </c>
      <c r="C172" s="15" t="s">
        <v>357</v>
      </c>
      <c r="D172" s="15" t="s">
        <v>358</v>
      </c>
      <c r="E172" s="16" t="s">
        <v>26</v>
      </c>
      <c r="F172" s="17"/>
      <c r="G172" cm="1">
        <f t="array" ref="G172">IFERROR(_xlfn.XLOOKUP(Pedido891011121412131617181921192223[[#This Row],[Id de Producto]],[1]!Precios[[#All],[Id de Producto]],[1]!Precios[[#All],[Coste estándar]])*Pedido891011121412131617181921192223[[#This Row],[Pedido]],0)</f>
        <v>0</v>
      </c>
      <c r="H172" s="18">
        <v>0</v>
      </c>
      <c r="I172" s="16" t="s">
        <v>255</v>
      </c>
      <c r="J172" s="1"/>
      <c r="K172" s="1"/>
      <c r="L172" s="1"/>
      <c r="M172" s="1"/>
      <c r="N172" s="1"/>
    </row>
    <row r="173" spans="1:14" hidden="1" x14ac:dyDescent="0.25">
      <c r="A173" s="1"/>
      <c r="B173" s="16" t="s">
        <v>255</v>
      </c>
      <c r="C173" s="15" t="s">
        <v>359</v>
      </c>
      <c r="D173" s="15" t="s">
        <v>360</v>
      </c>
      <c r="E173" s="16" t="s">
        <v>26</v>
      </c>
      <c r="F173" s="17"/>
      <c r="G173" cm="1">
        <f t="array" ref="G173">IFERROR(_xlfn.XLOOKUP(Pedido891011121412131617181921192223[[#This Row],[Id de Producto]],[1]!Precios[[#All],[Id de Producto]],[1]!Precios[[#All],[Coste estándar]])*Pedido891011121412131617181921192223[[#This Row],[Pedido]],0)</f>
        <v>0</v>
      </c>
      <c r="H173" s="18">
        <v>0</v>
      </c>
      <c r="I173" s="16" t="s">
        <v>255</v>
      </c>
      <c r="J173" s="1"/>
      <c r="K173" s="1"/>
      <c r="L173" s="1"/>
      <c r="M173" s="1"/>
      <c r="N173" s="1"/>
    </row>
    <row r="174" spans="1:14" hidden="1" x14ac:dyDescent="0.25">
      <c r="A174" s="1"/>
      <c r="B174" s="16" t="s">
        <v>255</v>
      </c>
      <c r="C174" s="15" t="s">
        <v>361</v>
      </c>
      <c r="D174" s="15" t="s">
        <v>362</v>
      </c>
      <c r="E174" s="16" t="s">
        <v>26</v>
      </c>
      <c r="F174" s="17"/>
      <c r="G174" cm="1">
        <f t="array" ref="G174">IFERROR(_xlfn.XLOOKUP(Pedido891011121412131617181921192223[[#This Row],[Id de Producto]],[1]!Precios[[#All],[Id de Producto]],[1]!Precios[[#All],[Coste estándar]])*Pedido891011121412131617181921192223[[#This Row],[Pedido]],0)</f>
        <v>0</v>
      </c>
      <c r="H174" s="18">
        <v>0</v>
      </c>
      <c r="I174" s="16" t="s">
        <v>255</v>
      </c>
      <c r="J174" s="1"/>
      <c r="K174" s="1"/>
      <c r="L174" s="1"/>
      <c r="M174" s="1"/>
      <c r="N174" s="1"/>
    </row>
    <row r="175" spans="1:14" hidden="1" x14ac:dyDescent="0.25">
      <c r="A175" s="1"/>
      <c r="B175" s="16" t="s">
        <v>255</v>
      </c>
      <c r="C175" s="15" t="s">
        <v>363</v>
      </c>
      <c r="D175" s="15" t="s">
        <v>364</v>
      </c>
      <c r="E175" s="16" t="s">
        <v>26</v>
      </c>
      <c r="F175" s="17"/>
      <c r="G175" cm="1">
        <f t="array" ref="G175">IFERROR(_xlfn.XLOOKUP(Pedido891011121412131617181921192223[[#This Row],[Id de Producto]],[1]!Precios[[#All],[Id de Producto]],[1]!Precios[[#All],[Coste estándar]])*Pedido891011121412131617181921192223[[#This Row],[Pedido]],0)</f>
        <v>0</v>
      </c>
      <c r="H175" s="18">
        <v>0</v>
      </c>
      <c r="I175" s="16" t="s">
        <v>255</v>
      </c>
      <c r="J175" s="1"/>
      <c r="K175" s="1"/>
      <c r="L175" s="1"/>
      <c r="M175" s="1"/>
      <c r="N175" s="1"/>
    </row>
    <row r="176" spans="1:14" hidden="1" x14ac:dyDescent="0.25">
      <c r="A176" s="1"/>
      <c r="B176" s="16" t="s">
        <v>255</v>
      </c>
      <c r="C176" s="15" t="s">
        <v>365</v>
      </c>
      <c r="D176" s="15" t="s">
        <v>366</v>
      </c>
      <c r="E176" s="16" t="s">
        <v>26</v>
      </c>
      <c r="F176" s="17"/>
      <c r="G176" cm="1">
        <f t="array" ref="G176">IFERROR(_xlfn.XLOOKUP(Pedido891011121412131617181921192223[[#This Row],[Id de Producto]],[1]!Precios[[#All],[Id de Producto]],[1]!Precios[[#All],[Coste estándar]])*Pedido891011121412131617181921192223[[#This Row],[Pedido]],0)</f>
        <v>0</v>
      </c>
      <c r="H176" s="18">
        <v>0</v>
      </c>
      <c r="I176" s="16" t="s">
        <v>255</v>
      </c>
      <c r="J176" s="1"/>
      <c r="K176" s="1"/>
      <c r="L176" s="1"/>
      <c r="M176" s="1"/>
      <c r="N176" s="1"/>
    </row>
    <row r="177" spans="1:14" hidden="1" x14ac:dyDescent="0.25">
      <c r="A177" s="1"/>
      <c r="B177" s="16" t="s">
        <v>255</v>
      </c>
      <c r="C177" s="15" t="s">
        <v>367</v>
      </c>
      <c r="D177" s="15" t="s">
        <v>368</v>
      </c>
      <c r="E177" s="16" t="s">
        <v>22</v>
      </c>
      <c r="F177" s="17"/>
      <c r="G177" cm="1">
        <f t="array" ref="G177">IFERROR(_xlfn.XLOOKUP(Pedido891011121412131617181921192223[[#This Row],[Id de Producto]],[1]!Precios[[#All],[Id de Producto]],[1]!Precios[[#All],[Coste estándar]])*Pedido891011121412131617181921192223[[#This Row],[Pedido]],0)</f>
        <v>0</v>
      </c>
      <c r="H177" s="18">
        <v>0</v>
      </c>
      <c r="I177" s="16" t="s">
        <v>255</v>
      </c>
      <c r="J177" s="1"/>
      <c r="K177" s="1"/>
      <c r="L177" s="1"/>
      <c r="M177" s="1"/>
      <c r="N177" s="1"/>
    </row>
    <row r="178" spans="1:14" hidden="1" x14ac:dyDescent="0.25">
      <c r="A178" s="1"/>
      <c r="B178" s="15" t="s">
        <v>255</v>
      </c>
      <c r="C178" s="15" t="s">
        <v>369</v>
      </c>
      <c r="D178" s="15" t="s">
        <v>370</v>
      </c>
      <c r="E178" s="15" t="s">
        <v>22</v>
      </c>
      <c r="F178" s="17"/>
      <c r="G178" cm="1">
        <f t="array" ref="G178">IFERROR(_xlfn.XLOOKUP(Pedido891011121412131617181921192223[[#This Row],[Id de Producto]],[1]!Precios[[#All],[Id de Producto]],[1]!Precios[[#All],[Coste estándar]])*Pedido891011121412131617181921192223[[#This Row],[Pedido]],0)</f>
        <v>0</v>
      </c>
      <c r="H178" s="18">
        <v>0</v>
      </c>
      <c r="I178" s="16" t="s">
        <v>255</v>
      </c>
      <c r="J178" s="1"/>
      <c r="K178" s="1"/>
      <c r="L178" s="1"/>
      <c r="M178" s="1"/>
      <c r="N178" s="1"/>
    </row>
    <row r="179" spans="1:14" hidden="1" x14ac:dyDescent="0.25">
      <c r="A179" s="1"/>
      <c r="B179" s="16" t="s">
        <v>255</v>
      </c>
      <c r="C179" s="15" t="s">
        <v>371</v>
      </c>
      <c r="D179" s="15" t="s">
        <v>372</v>
      </c>
      <c r="E179" s="16" t="s">
        <v>26</v>
      </c>
      <c r="F179" s="17"/>
      <c r="G179" cm="1">
        <f t="array" ref="G179">IFERROR(_xlfn.XLOOKUP(Pedido891011121412131617181921192223[[#This Row],[Id de Producto]],[1]!Precios[[#All],[Id de Producto]],[1]!Precios[[#All],[Coste estándar]])*Pedido891011121412131617181921192223[[#This Row],[Pedido]],0)</f>
        <v>0</v>
      </c>
      <c r="H179" s="18">
        <v>0</v>
      </c>
      <c r="I179" s="16" t="s">
        <v>255</v>
      </c>
      <c r="J179" s="1"/>
      <c r="K179" s="1"/>
      <c r="L179" s="1"/>
      <c r="M179" s="1"/>
      <c r="N179" s="1"/>
    </row>
    <row r="180" spans="1:14" hidden="1" x14ac:dyDescent="0.25">
      <c r="A180" s="1"/>
      <c r="B180" s="16" t="s">
        <v>255</v>
      </c>
      <c r="C180" s="15" t="s">
        <v>373</v>
      </c>
      <c r="D180" s="15" t="s">
        <v>374</v>
      </c>
      <c r="E180" s="16" t="s">
        <v>26</v>
      </c>
      <c r="F180" s="17"/>
      <c r="G180" cm="1">
        <f t="array" ref="G180">IFERROR(_xlfn.XLOOKUP(Pedido891011121412131617181921192223[[#This Row],[Id de Producto]],[1]!Precios[[#All],[Id de Producto]],[1]!Precios[[#All],[Coste estándar]])*Pedido891011121412131617181921192223[[#This Row],[Pedido]],0)</f>
        <v>0</v>
      </c>
      <c r="H180" s="18">
        <v>0</v>
      </c>
      <c r="I180" s="16" t="s">
        <v>255</v>
      </c>
      <c r="J180" s="1"/>
      <c r="K180" s="1"/>
      <c r="L180" s="1"/>
      <c r="M180" s="1"/>
      <c r="N180" s="1"/>
    </row>
    <row r="181" spans="1:14" hidden="1" x14ac:dyDescent="0.25">
      <c r="A181" s="1"/>
      <c r="B181" s="16" t="s">
        <v>255</v>
      </c>
      <c r="C181" s="15" t="s">
        <v>375</v>
      </c>
      <c r="D181" s="15" t="s">
        <v>376</v>
      </c>
      <c r="E181" s="16" t="s">
        <v>18</v>
      </c>
      <c r="F181" s="17"/>
      <c r="G181" cm="1">
        <f t="array" ref="G181">IFERROR(_xlfn.XLOOKUP(Pedido891011121412131617181921192223[[#This Row],[Id de Producto]],[1]!Precios[[#All],[Id de Producto]],[1]!Precios[[#All],[Coste estándar]])*Pedido891011121412131617181921192223[[#This Row],[Pedido]],0)</f>
        <v>0</v>
      </c>
      <c r="H181" s="18">
        <v>0</v>
      </c>
      <c r="I181" s="16" t="s">
        <v>255</v>
      </c>
      <c r="J181" s="1"/>
      <c r="K181" s="1"/>
      <c r="L181" s="1"/>
      <c r="M181" s="1"/>
      <c r="N181" s="1"/>
    </row>
    <row r="182" spans="1:14" hidden="1" x14ac:dyDescent="0.25">
      <c r="A182" s="1"/>
      <c r="B182" s="16" t="s">
        <v>255</v>
      </c>
      <c r="C182" s="15" t="s">
        <v>377</v>
      </c>
      <c r="D182" s="15" t="s">
        <v>378</v>
      </c>
      <c r="E182" s="16" t="s">
        <v>22</v>
      </c>
      <c r="F182" s="17"/>
      <c r="G182" cm="1">
        <f t="array" ref="G182">IFERROR(_xlfn.XLOOKUP(Pedido891011121412131617181921192223[[#This Row],[Id de Producto]],[1]!Precios[[#All],[Id de Producto]],[1]!Precios[[#All],[Coste estándar]])*Pedido891011121412131617181921192223[[#This Row],[Pedido]],0)</f>
        <v>0</v>
      </c>
      <c r="H182" s="18">
        <v>0</v>
      </c>
      <c r="I182" s="16" t="s">
        <v>255</v>
      </c>
      <c r="J182" s="1"/>
      <c r="K182" s="1"/>
      <c r="L182" s="1"/>
      <c r="M182" s="1"/>
      <c r="N182" s="1"/>
    </row>
    <row r="183" spans="1:14" hidden="1" x14ac:dyDescent="0.25">
      <c r="A183" s="1"/>
      <c r="B183" s="16" t="s">
        <v>255</v>
      </c>
      <c r="C183" s="15" t="s">
        <v>379</v>
      </c>
      <c r="D183" s="15" t="s">
        <v>380</v>
      </c>
      <c r="E183" s="16" t="s">
        <v>18</v>
      </c>
      <c r="F183" s="17"/>
      <c r="G183" cm="1">
        <f t="array" ref="G183">IFERROR(_xlfn.XLOOKUP(Pedido891011121412131617181921192223[[#This Row],[Id de Producto]],[1]!Precios[[#All],[Id de Producto]],[1]!Precios[[#All],[Coste estándar]])*Pedido891011121412131617181921192223[[#This Row],[Pedido]],0)</f>
        <v>0</v>
      </c>
      <c r="H183" s="18">
        <v>0</v>
      </c>
      <c r="I183" s="16" t="s">
        <v>255</v>
      </c>
      <c r="J183" s="1"/>
      <c r="K183" s="1"/>
      <c r="L183" s="1"/>
      <c r="M183" s="1"/>
      <c r="N183" s="1"/>
    </row>
    <row r="184" spans="1:14" hidden="1" x14ac:dyDescent="0.25">
      <c r="A184" s="1"/>
      <c r="B184" s="16" t="s">
        <v>255</v>
      </c>
      <c r="C184" s="15" t="s">
        <v>381</v>
      </c>
      <c r="D184" s="15" t="s">
        <v>382</v>
      </c>
      <c r="E184" s="16" t="s">
        <v>26</v>
      </c>
      <c r="F184" s="17"/>
      <c r="G184" cm="1">
        <f t="array" ref="G184">IFERROR(_xlfn.XLOOKUP(Pedido891011121412131617181921192223[[#This Row],[Id de Producto]],[1]!Precios[[#All],[Id de Producto]],[1]!Precios[[#All],[Coste estándar]])*Pedido891011121412131617181921192223[[#This Row],[Pedido]],0)</f>
        <v>0</v>
      </c>
      <c r="H184" s="18">
        <v>0</v>
      </c>
      <c r="I184" s="16" t="s">
        <v>255</v>
      </c>
      <c r="J184" s="1"/>
      <c r="K184" s="1"/>
      <c r="L184" s="1"/>
      <c r="M184" s="1"/>
      <c r="N184" s="1"/>
    </row>
    <row r="185" spans="1:14" hidden="1" x14ac:dyDescent="0.25">
      <c r="A185" s="1"/>
      <c r="B185" s="16" t="s">
        <v>255</v>
      </c>
      <c r="C185" s="15" t="s">
        <v>383</v>
      </c>
      <c r="D185" s="15" t="s">
        <v>384</v>
      </c>
      <c r="E185" s="16" t="s">
        <v>18</v>
      </c>
      <c r="F185" s="17"/>
      <c r="G185" cm="1">
        <f t="array" ref="G185">IFERROR(_xlfn.XLOOKUP(Pedido891011121412131617181921192223[[#This Row],[Id de Producto]],[1]!Precios[[#All],[Id de Producto]],[1]!Precios[[#All],[Coste estándar]])*Pedido891011121412131617181921192223[[#This Row],[Pedido]],0)</f>
        <v>0</v>
      </c>
      <c r="H185" s="18">
        <v>0</v>
      </c>
      <c r="I185" s="16" t="s">
        <v>255</v>
      </c>
      <c r="J185" s="1"/>
      <c r="K185" s="1"/>
      <c r="L185" s="1"/>
      <c r="M185" s="1"/>
      <c r="N185" s="1"/>
    </row>
    <row r="186" spans="1:14" hidden="1" x14ac:dyDescent="0.25">
      <c r="A186" s="1"/>
      <c r="B186" s="16" t="s">
        <v>255</v>
      </c>
      <c r="C186" s="15" t="s">
        <v>385</v>
      </c>
      <c r="D186" s="15" t="s">
        <v>386</v>
      </c>
      <c r="E186" s="16" t="s">
        <v>22</v>
      </c>
      <c r="F186" s="17"/>
      <c r="G186" cm="1">
        <f t="array" ref="G186">IFERROR(_xlfn.XLOOKUP(Pedido891011121412131617181921192223[[#This Row],[Id de Producto]],[1]!Precios[[#All],[Id de Producto]],[1]!Precios[[#All],[Coste estándar]])*Pedido891011121412131617181921192223[[#This Row],[Pedido]],0)</f>
        <v>0</v>
      </c>
      <c r="H186" s="18">
        <v>0</v>
      </c>
      <c r="I186" s="16" t="s">
        <v>255</v>
      </c>
      <c r="J186" s="1"/>
      <c r="K186" s="1"/>
      <c r="L186" s="1"/>
      <c r="M186" s="1"/>
      <c r="N186" s="1"/>
    </row>
    <row r="187" spans="1:14" hidden="1" x14ac:dyDescent="0.25">
      <c r="A187" s="1"/>
      <c r="B187" s="16" t="s">
        <v>255</v>
      </c>
      <c r="C187" s="15" t="s">
        <v>387</v>
      </c>
      <c r="D187" s="15" t="s">
        <v>388</v>
      </c>
      <c r="E187" s="16" t="s">
        <v>26</v>
      </c>
      <c r="F187" s="17"/>
      <c r="G187" cm="1">
        <f t="array" ref="G187">IFERROR(_xlfn.XLOOKUP(Pedido891011121412131617181921192223[[#This Row],[Id de Producto]],[1]!Precios[[#All],[Id de Producto]],[1]!Precios[[#All],[Coste estándar]])*Pedido891011121412131617181921192223[[#This Row],[Pedido]],0)</f>
        <v>0</v>
      </c>
      <c r="H187" s="18">
        <v>0</v>
      </c>
      <c r="I187" s="16" t="s">
        <v>255</v>
      </c>
      <c r="J187" s="1"/>
      <c r="K187" s="1"/>
      <c r="L187" s="1"/>
      <c r="M187" s="1"/>
      <c r="N187" s="1"/>
    </row>
    <row r="188" spans="1:14" hidden="1" x14ac:dyDescent="0.25">
      <c r="A188" s="1"/>
      <c r="B188" s="16" t="s">
        <v>255</v>
      </c>
      <c r="C188" s="15" t="s">
        <v>389</v>
      </c>
      <c r="D188" s="15" t="s">
        <v>390</v>
      </c>
      <c r="E188" s="16" t="s">
        <v>26</v>
      </c>
      <c r="F188" s="17"/>
      <c r="G188" cm="1">
        <f t="array" ref="G188">IFERROR(_xlfn.XLOOKUP(Pedido891011121412131617181921192223[[#This Row],[Id de Producto]],[1]!Precios[[#All],[Id de Producto]],[1]!Precios[[#All],[Coste estándar]])*Pedido891011121412131617181921192223[[#This Row],[Pedido]],0)</f>
        <v>0</v>
      </c>
      <c r="H188" s="18">
        <v>0</v>
      </c>
      <c r="I188" s="16" t="s">
        <v>255</v>
      </c>
      <c r="J188" s="1"/>
      <c r="K188" s="1"/>
      <c r="L188" s="1"/>
      <c r="M188" s="1"/>
      <c r="N188" s="1"/>
    </row>
    <row r="189" spans="1:14" hidden="1" x14ac:dyDescent="0.25">
      <c r="A189" s="1"/>
      <c r="B189" s="16" t="s">
        <v>255</v>
      </c>
      <c r="C189" s="15" t="s">
        <v>391</v>
      </c>
      <c r="D189" s="15" t="s">
        <v>392</v>
      </c>
      <c r="E189" s="16" t="s">
        <v>26</v>
      </c>
      <c r="F189" s="17"/>
      <c r="G189" cm="1">
        <f t="array" ref="G189">IFERROR(_xlfn.XLOOKUP(Pedido891011121412131617181921192223[[#This Row],[Id de Producto]],[1]!Precios[[#All],[Id de Producto]],[1]!Precios[[#All],[Coste estándar]])*Pedido891011121412131617181921192223[[#This Row],[Pedido]],0)</f>
        <v>0</v>
      </c>
      <c r="H189" s="18">
        <v>0</v>
      </c>
      <c r="I189" s="16" t="s">
        <v>255</v>
      </c>
      <c r="J189" s="1"/>
      <c r="K189" s="1"/>
      <c r="L189" s="1"/>
      <c r="M189" s="1"/>
      <c r="N189" s="1"/>
    </row>
    <row r="190" spans="1:14" hidden="1" x14ac:dyDescent="0.25">
      <c r="A190" s="1"/>
      <c r="B190" s="16" t="s">
        <v>117</v>
      </c>
      <c r="C190" s="15" t="s">
        <v>393</v>
      </c>
      <c r="D190" s="15" t="s">
        <v>394</v>
      </c>
      <c r="E190" s="16" t="s">
        <v>120</v>
      </c>
      <c r="F190" s="17"/>
      <c r="G190" cm="1">
        <f t="array" ref="G190">IFERROR(_xlfn.XLOOKUP(Pedido891011121412131617181921192223[[#This Row],[Id de Producto]],[1]!Precios[[#All],[Id de Producto]],[1]!Precios[[#All],[Coste estándar]])*Pedido891011121412131617181921192223[[#This Row],[Pedido]],0)</f>
        <v>0</v>
      </c>
      <c r="H190" s="18">
        <v>0</v>
      </c>
      <c r="I190" s="16" t="s">
        <v>117</v>
      </c>
      <c r="J190" s="1"/>
      <c r="K190" s="1"/>
      <c r="L190" s="1"/>
      <c r="M190" s="1"/>
      <c r="N190" s="1"/>
    </row>
    <row r="191" spans="1:14" hidden="1" x14ac:dyDescent="0.25">
      <c r="A191" s="1"/>
      <c r="B191" s="16" t="s">
        <v>255</v>
      </c>
      <c r="C191" s="15" t="s">
        <v>395</v>
      </c>
      <c r="D191" s="15" t="s">
        <v>396</v>
      </c>
      <c r="E191" s="16" t="s">
        <v>22</v>
      </c>
      <c r="F191" s="17"/>
      <c r="G191" cm="1">
        <f t="array" ref="G191">IFERROR(_xlfn.XLOOKUP(Pedido891011121412131617181921192223[[#This Row],[Id de Producto]],[1]!Precios[[#All],[Id de Producto]],[1]!Precios[[#All],[Coste estándar]])*Pedido891011121412131617181921192223[[#This Row],[Pedido]],0)</f>
        <v>0</v>
      </c>
      <c r="H191" s="18">
        <v>0</v>
      </c>
      <c r="I191" s="16" t="s">
        <v>255</v>
      </c>
      <c r="J191" s="1"/>
      <c r="K191" s="1"/>
      <c r="L191" s="1"/>
      <c r="M191" s="1"/>
      <c r="N191" s="1"/>
    </row>
    <row r="192" spans="1:14" hidden="1" x14ac:dyDescent="0.25">
      <c r="A192" s="1"/>
      <c r="B192" s="15" t="s">
        <v>255</v>
      </c>
      <c r="C192" s="15" t="s">
        <v>397</v>
      </c>
      <c r="D192" s="15" t="s">
        <v>398</v>
      </c>
      <c r="E192" s="15" t="s">
        <v>18</v>
      </c>
      <c r="F192" s="17"/>
      <c r="G192" cm="1">
        <f t="array" ref="G192">IFERROR(_xlfn.XLOOKUP(Pedido891011121412131617181921192223[[#This Row],[Id de Producto]],[1]!Precios[[#All],[Id de Producto]],[1]!Precios[[#All],[Coste estándar]])*Pedido891011121412131617181921192223[[#This Row],[Pedido]],0)</f>
        <v>0</v>
      </c>
      <c r="H192" s="18">
        <v>0</v>
      </c>
      <c r="I192" s="16" t="s">
        <v>255</v>
      </c>
      <c r="J192" s="1"/>
      <c r="K192" s="1"/>
      <c r="L192" s="1"/>
      <c r="M192" s="1"/>
      <c r="N192" s="1"/>
    </row>
    <row r="193" spans="1:14" hidden="1" x14ac:dyDescent="0.25">
      <c r="A193" s="1"/>
      <c r="B193" s="16" t="s">
        <v>255</v>
      </c>
      <c r="C193" s="15" t="s">
        <v>399</v>
      </c>
      <c r="D193" s="15" t="s">
        <v>400</v>
      </c>
      <c r="E193" s="16" t="s">
        <v>26</v>
      </c>
      <c r="F193" s="17"/>
      <c r="G193" cm="1">
        <f t="array" ref="G193">IFERROR(_xlfn.XLOOKUP(Pedido891011121412131617181921192223[[#This Row],[Id de Producto]],[1]!Precios[[#All],[Id de Producto]],[1]!Precios[[#All],[Coste estándar]])*Pedido891011121412131617181921192223[[#This Row],[Pedido]],0)</f>
        <v>0</v>
      </c>
      <c r="H193" s="18">
        <v>0</v>
      </c>
      <c r="I193" s="16" t="s">
        <v>255</v>
      </c>
      <c r="J193" s="1"/>
      <c r="K193" s="1"/>
      <c r="L193" s="1"/>
      <c r="M193" s="1"/>
      <c r="N193" s="1"/>
    </row>
    <row r="194" spans="1:14" hidden="1" x14ac:dyDescent="0.25">
      <c r="A194" s="1"/>
      <c r="B194" s="16" t="s">
        <v>255</v>
      </c>
      <c r="C194" s="15" t="s">
        <v>401</v>
      </c>
      <c r="D194" s="15" t="s">
        <v>402</v>
      </c>
      <c r="E194" s="16" t="s">
        <v>26</v>
      </c>
      <c r="F194" s="17"/>
      <c r="G194" cm="1">
        <f t="array" ref="G194">IFERROR(_xlfn.XLOOKUP(Pedido891011121412131617181921192223[[#This Row],[Id de Producto]],[1]!Precios[[#All],[Id de Producto]],[1]!Precios[[#All],[Coste estándar]])*Pedido891011121412131617181921192223[[#This Row],[Pedido]],0)</f>
        <v>0</v>
      </c>
      <c r="H194" s="18">
        <v>0</v>
      </c>
      <c r="I194" s="16" t="s">
        <v>255</v>
      </c>
      <c r="J194" s="1"/>
      <c r="K194" s="1"/>
      <c r="L194" s="1"/>
      <c r="M194" s="1"/>
      <c r="N194" s="1"/>
    </row>
    <row r="195" spans="1:14" hidden="1" x14ac:dyDescent="0.25">
      <c r="A195" s="1"/>
      <c r="B195" s="16" t="s">
        <v>255</v>
      </c>
      <c r="C195" s="15" t="s">
        <v>403</v>
      </c>
      <c r="D195" s="15" t="s">
        <v>404</v>
      </c>
      <c r="E195" s="16" t="s">
        <v>26</v>
      </c>
      <c r="F195" s="17"/>
      <c r="G195" cm="1">
        <f t="array" ref="G195">IFERROR(_xlfn.XLOOKUP(Pedido891011121412131617181921192223[[#This Row],[Id de Producto]],[1]!Precios[[#All],[Id de Producto]],[1]!Precios[[#All],[Coste estándar]])*Pedido891011121412131617181921192223[[#This Row],[Pedido]],0)</f>
        <v>0</v>
      </c>
      <c r="H195" s="18">
        <v>0</v>
      </c>
      <c r="I195" s="16" t="s">
        <v>255</v>
      </c>
      <c r="J195" s="1"/>
      <c r="K195" s="1"/>
      <c r="L195" s="1"/>
      <c r="M195" s="1"/>
      <c r="N195" s="1"/>
    </row>
    <row r="196" spans="1:14" hidden="1" x14ac:dyDescent="0.25">
      <c r="A196" s="1"/>
      <c r="B196" s="16" t="s">
        <v>255</v>
      </c>
      <c r="C196" s="15" t="s">
        <v>405</v>
      </c>
      <c r="D196" s="15" t="s">
        <v>406</v>
      </c>
      <c r="E196" s="16" t="s">
        <v>26</v>
      </c>
      <c r="F196" s="17"/>
      <c r="G196" cm="1">
        <f t="array" ref="G196">IFERROR(_xlfn.XLOOKUP(Pedido891011121412131617181921192223[[#This Row],[Id de Producto]],[1]!Precios[[#All],[Id de Producto]],[1]!Precios[[#All],[Coste estándar]])*Pedido891011121412131617181921192223[[#This Row],[Pedido]],0)</f>
        <v>0</v>
      </c>
      <c r="H196" s="18">
        <v>0</v>
      </c>
      <c r="I196" s="16" t="s">
        <v>255</v>
      </c>
      <c r="J196" s="1"/>
      <c r="K196" s="1"/>
      <c r="L196" s="1"/>
      <c r="M196" s="1"/>
      <c r="N196" s="1"/>
    </row>
    <row r="197" spans="1:14" hidden="1" x14ac:dyDescent="0.25">
      <c r="A197" s="1"/>
      <c r="B197" s="16" t="s">
        <v>255</v>
      </c>
      <c r="C197" s="15" t="s">
        <v>407</v>
      </c>
      <c r="D197" s="15" t="s">
        <v>408</v>
      </c>
      <c r="E197" s="16" t="s">
        <v>26</v>
      </c>
      <c r="F197" s="17"/>
      <c r="G197" cm="1">
        <f t="array" ref="G197">IFERROR(_xlfn.XLOOKUP(Pedido891011121412131617181921192223[[#This Row],[Id de Producto]],[1]!Precios[[#All],[Id de Producto]],[1]!Precios[[#All],[Coste estándar]])*Pedido891011121412131617181921192223[[#This Row],[Pedido]],0)</f>
        <v>0</v>
      </c>
      <c r="H197" s="18">
        <v>0</v>
      </c>
      <c r="I197" s="16" t="s">
        <v>255</v>
      </c>
      <c r="J197" s="1"/>
      <c r="K197" s="1"/>
      <c r="L197" s="1"/>
      <c r="M197" s="1"/>
      <c r="N197" s="1"/>
    </row>
    <row r="198" spans="1:14" hidden="1" x14ac:dyDescent="0.25">
      <c r="A198" s="1"/>
      <c r="B198" s="16" t="s">
        <v>255</v>
      </c>
      <c r="C198" s="15" t="s">
        <v>409</v>
      </c>
      <c r="D198" s="15" t="s">
        <v>410</v>
      </c>
      <c r="E198" s="16" t="s">
        <v>22</v>
      </c>
      <c r="F198" s="17"/>
      <c r="G198" cm="1">
        <f t="array" ref="G198">IFERROR(_xlfn.XLOOKUP(Pedido891011121412131617181921192223[[#This Row],[Id de Producto]],[1]!Precios[[#All],[Id de Producto]],[1]!Precios[[#All],[Coste estándar]])*Pedido891011121412131617181921192223[[#This Row],[Pedido]],0)</f>
        <v>0</v>
      </c>
      <c r="H198" s="18">
        <v>0</v>
      </c>
      <c r="I198" s="16" t="s">
        <v>255</v>
      </c>
      <c r="J198" s="1"/>
      <c r="K198" s="1"/>
      <c r="L198" s="1"/>
      <c r="M198" s="1"/>
      <c r="N198" s="1"/>
    </row>
    <row r="199" spans="1:14" hidden="1" x14ac:dyDescent="0.25">
      <c r="A199" s="1"/>
      <c r="B199" s="16" t="s">
        <v>255</v>
      </c>
      <c r="C199" s="15" t="s">
        <v>411</v>
      </c>
      <c r="D199" s="15" t="s">
        <v>412</v>
      </c>
      <c r="E199" s="16" t="s">
        <v>18</v>
      </c>
      <c r="F199" s="17"/>
      <c r="G199" cm="1">
        <f t="array" ref="G199">IFERROR(_xlfn.XLOOKUP(Pedido891011121412131617181921192223[[#This Row],[Id de Producto]],[1]!Precios[[#All],[Id de Producto]],[1]!Precios[[#All],[Coste estándar]])*Pedido891011121412131617181921192223[[#This Row],[Pedido]],0)</f>
        <v>0</v>
      </c>
      <c r="H199" s="18">
        <v>0</v>
      </c>
      <c r="I199" s="16" t="s">
        <v>255</v>
      </c>
      <c r="J199" s="1"/>
      <c r="K199" s="1"/>
      <c r="L199" s="1"/>
      <c r="M199" s="1"/>
      <c r="N199" s="1"/>
    </row>
    <row r="200" spans="1:14" hidden="1" x14ac:dyDescent="0.25">
      <c r="A200" s="1"/>
      <c r="B200" s="16" t="s">
        <v>255</v>
      </c>
      <c r="C200" s="15" t="s">
        <v>413</v>
      </c>
      <c r="D200" s="15" t="s">
        <v>414</v>
      </c>
      <c r="E200" s="16" t="s">
        <v>26</v>
      </c>
      <c r="F200" s="17"/>
      <c r="G200" cm="1">
        <f t="array" ref="G200">IFERROR(_xlfn.XLOOKUP(Pedido891011121412131617181921192223[[#This Row],[Id de Producto]],[1]!Precios[[#All],[Id de Producto]],[1]!Precios[[#All],[Coste estándar]])*Pedido891011121412131617181921192223[[#This Row],[Pedido]],0)</f>
        <v>0</v>
      </c>
      <c r="H200" s="18">
        <v>0</v>
      </c>
      <c r="I200" s="16" t="s">
        <v>255</v>
      </c>
      <c r="J200" s="1"/>
      <c r="K200" s="1"/>
      <c r="L200" s="1"/>
      <c r="M200" s="1"/>
      <c r="N200" s="1"/>
    </row>
    <row r="201" spans="1:14" hidden="1" x14ac:dyDescent="0.25">
      <c r="A201" s="1"/>
      <c r="B201" s="16" t="s">
        <v>255</v>
      </c>
      <c r="C201" s="15" t="s">
        <v>415</v>
      </c>
      <c r="D201" s="15" t="s">
        <v>416</v>
      </c>
      <c r="E201" s="16" t="s">
        <v>26</v>
      </c>
      <c r="F201" s="17"/>
      <c r="G201" cm="1">
        <f t="array" ref="G201">IFERROR(_xlfn.XLOOKUP(Pedido891011121412131617181921192223[[#This Row],[Id de Producto]],[1]!Precios[[#All],[Id de Producto]],[1]!Precios[[#All],[Coste estándar]])*Pedido891011121412131617181921192223[[#This Row],[Pedido]],0)</f>
        <v>0</v>
      </c>
      <c r="H201" s="18">
        <v>0</v>
      </c>
      <c r="I201" s="16" t="s">
        <v>255</v>
      </c>
      <c r="J201" s="1"/>
      <c r="K201" s="1"/>
      <c r="L201" s="1"/>
      <c r="M201" s="1"/>
      <c r="N201" s="1"/>
    </row>
    <row r="202" spans="1:14" hidden="1" x14ac:dyDescent="0.25">
      <c r="A202" s="1"/>
      <c r="B202" s="16" t="s">
        <v>255</v>
      </c>
      <c r="C202" s="15" t="s">
        <v>417</v>
      </c>
      <c r="D202" s="15" t="s">
        <v>418</v>
      </c>
      <c r="E202" s="16" t="s">
        <v>22</v>
      </c>
      <c r="F202" s="17"/>
      <c r="G202" cm="1">
        <f t="array" ref="G202">IFERROR(_xlfn.XLOOKUP(Pedido891011121412131617181921192223[[#This Row],[Id de Producto]],[1]!Precios[[#All],[Id de Producto]],[1]!Precios[[#All],[Coste estándar]])*Pedido891011121412131617181921192223[[#This Row],[Pedido]],0)</f>
        <v>0</v>
      </c>
      <c r="H202" s="18">
        <v>0</v>
      </c>
      <c r="I202" s="16" t="s">
        <v>255</v>
      </c>
      <c r="J202" s="1"/>
      <c r="K202" s="1"/>
      <c r="L202" s="1"/>
      <c r="M202" s="1"/>
      <c r="N202" s="1"/>
    </row>
    <row r="203" spans="1:14" hidden="1" x14ac:dyDescent="0.25">
      <c r="A203" s="1"/>
      <c r="B203" s="16" t="s">
        <v>255</v>
      </c>
      <c r="C203" s="15" t="s">
        <v>419</v>
      </c>
      <c r="D203" s="15" t="s">
        <v>420</v>
      </c>
      <c r="E203" s="16" t="s">
        <v>18</v>
      </c>
      <c r="F203" s="17"/>
      <c r="G203" cm="1">
        <f t="array" ref="G203">IFERROR(_xlfn.XLOOKUP(Pedido891011121412131617181921192223[[#This Row],[Id de Producto]],[1]!Precios[[#All],[Id de Producto]],[1]!Precios[[#All],[Coste estándar]])*Pedido891011121412131617181921192223[[#This Row],[Pedido]],0)</f>
        <v>0</v>
      </c>
      <c r="H203" s="18">
        <v>0</v>
      </c>
      <c r="I203" s="16" t="s">
        <v>255</v>
      </c>
      <c r="J203" s="1"/>
      <c r="K203" s="1"/>
      <c r="L203" s="1"/>
      <c r="M203" s="1"/>
      <c r="N203" s="1"/>
    </row>
    <row r="204" spans="1:14" hidden="1" x14ac:dyDescent="0.25">
      <c r="A204" s="1"/>
      <c r="B204" s="16" t="s">
        <v>255</v>
      </c>
      <c r="C204" s="15" t="s">
        <v>421</v>
      </c>
      <c r="D204" s="15" t="s">
        <v>422</v>
      </c>
      <c r="E204" s="16" t="s">
        <v>26</v>
      </c>
      <c r="F204" s="17"/>
      <c r="G204" cm="1">
        <f t="array" ref="G204">IFERROR(_xlfn.XLOOKUP(Pedido891011121412131617181921192223[[#This Row],[Id de Producto]],[1]!Precios[[#All],[Id de Producto]],[1]!Precios[[#All],[Coste estándar]])*Pedido891011121412131617181921192223[[#This Row],[Pedido]],0)</f>
        <v>0</v>
      </c>
      <c r="H204" s="18">
        <v>0</v>
      </c>
      <c r="I204" s="16" t="s">
        <v>255</v>
      </c>
      <c r="J204" s="1"/>
      <c r="K204" s="1"/>
      <c r="L204" s="1"/>
      <c r="M204" s="1"/>
      <c r="N204" s="1"/>
    </row>
    <row r="205" spans="1:14" hidden="1" x14ac:dyDescent="0.25">
      <c r="A205" s="1"/>
      <c r="B205" s="16" t="s">
        <v>255</v>
      </c>
      <c r="C205" s="15" t="s">
        <v>423</v>
      </c>
      <c r="D205" s="15" t="s">
        <v>424</v>
      </c>
      <c r="E205" s="16" t="s">
        <v>26</v>
      </c>
      <c r="F205" s="17"/>
      <c r="G205" cm="1">
        <f t="array" ref="G205">IFERROR(_xlfn.XLOOKUP(Pedido891011121412131617181921192223[[#This Row],[Id de Producto]],[1]!Precios[[#All],[Id de Producto]],[1]!Precios[[#All],[Coste estándar]])*Pedido891011121412131617181921192223[[#This Row],[Pedido]],0)</f>
        <v>0</v>
      </c>
      <c r="H205" s="18">
        <v>0</v>
      </c>
      <c r="I205" s="16" t="s">
        <v>255</v>
      </c>
      <c r="J205" s="1"/>
      <c r="K205" s="1"/>
      <c r="L205" s="1"/>
      <c r="M205" s="1"/>
      <c r="N205" s="1"/>
    </row>
    <row r="206" spans="1:14" hidden="1" x14ac:dyDescent="0.25">
      <c r="A206" s="1"/>
      <c r="B206" s="16" t="s">
        <v>255</v>
      </c>
      <c r="C206" s="15" t="s">
        <v>425</v>
      </c>
      <c r="D206" s="15" t="s">
        <v>426</v>
      </c>
      <c r="E206" s="16" t="s">
        <v>26</v>
      </c>
      <c r="F206" s="17"/>
      <c r="G206" cm="1">
        <f t="array" ref="G206">IFERROR(_xlfn.XLOOKUP(Pedido891011121412131617181921192223[[#This Row],[Id de Producto]],[1]!Precios[[#All],[Id de Producto]],[1]!Precios[[#All],[Coste estándar]])*Pedido891011121412131617181921192223[[#This Row],[Pedido]],0)</f>
        <v>0</v>
      </c>
      <c r="H206" s="18">
        <v>0</v>
      </c>
      <c r="I206" s="16" t="s">
        <v>255</v>
      </c>
      <c r="J206" s="1"/>
      <c r="K206" s="1"/>
      <c r="L206" s="1"/>
      <c r="M206" s="1"/>
      <c r="N206" s="1"/>
    </row>
    <row r="207" spans="1:14" hidden="1" x14ac:dyDescent="0.25">
      <c r="A207" s="1"/>
      <c r="B207" s="16" t="s">
        <v>255</v>
      </c>
      <c r="C207" s="15" t="s">
        <v>427</v>
      </c>
      <c r="D207" s="15" t="s">
        <v>428</v>
      </c>
      <c r="E207" s="16" t="s">
        <v>26</v>
      </c>
      <c r="F207" s="17"/>
      <c r="G207" cm="1">
        <f t="array" ref="G207">IFERROR(_xlfn.XLOOKUP(Pedido891011121412131617181921192223[[#This Row],[Id de Producto]],[1]!Precios[[#All],[Id de Producto]],[1]!Precios[[#All],[Coste estándar]])*Pedido891011121412131617181921192223[[#This Row],[Pedido]],0)</f>
        <v>0</v>
      </c>
      <c r="H207" s="18">
        <v>0</v>
      </c>
      <c r="I207" s="16" t="s">
        <v>255</v>
      </c>
      <c r="J207" s="1"/>
      <c r="K207" s="1"/>
      <c r="L207" s="1"/>
      <c r="M207" s="1"/>
      <c r="N207" s="1"/>
    </row>
    <row r="208" spans="1:14" hidden="1" x14ac:dyDescent="0.25">
      <c r="A208" s="1"/>
      <c r="B208" s="16" t="s">
        <v>255</v>
      </c>
      <c r="C208" s="15" t="s">
        <v>429</v>
      </c>
      <c r="D208" s="15" t="s">
        <v>430</v>
      </c>
      <c r="E208" s="16" t="s">
        <v>22</v>
      </c>
      <c r="F208" s="17"/>
      <c r="G208" cm="1">
        <f t="array" ref="G208">IFERROR(_xlfn.XLOOKUP(Pedido891011121412131617181921192223[[#This Row],[Id de Producto]],[1]!Precios[[#All],[Id de Producto]],[1]!Precios[[#All],[Coste estándar]])*Pedido891011121412131617181921192223[[#This Row],[Pedido]],0)</f>
        <v>0</v>
      </c>
      <c r="H208" s="18">
        <v>0</v>
      </c>
      <c r="I208" s="16" t="s">
        <v>255</v>
      </c>
      <c r="J208" s="1"/>
      <c r="K208" s="1"/>
      <c r="L208" s="1"/>
      <c r="M208" s="1"/>
      <c r="N208" s="1"/>
    </row>
    <row r="209" spans="1:14" hidden="1" x14ac:dyDescent="0.25">
      <c r="A209" s="1"/>
      <c r="B209" s="16" t="s">
        <v>255</v>
      </c>
      <c r="C209" s="15" t="s">
        <v>431</v>
      </c>
      <c r="D209" s="15" t="s">
        <v>432</v>
      </c>
      <c r="E209" s="16" t="s">
        <v>26</v>
      </c>
      <c r="F209" s="17"/>
      <c r="G209" cm="1">
        <f t="array" ref="G209">IFERROR(_xlfn.XLOOKUP(Pedido891011121412131617181921192223[[#This Row],[Id de Producto]],[1]!Precios[[#All],[Id de Producto]],[1]!Precios[[#All],[Coste estándar]])*Pedido891011121412131617181921192223[[#This Row],[Pedido]],0)</f>
        <v>0</v>
      </c>
      <c r="H209" s="18">
        <v>0</v>
      </c>
      <c r="I209" s="16" t="s">
        <v>255</v>
      </c>
      <c r="J209" s="1"/>
      <c r="K209" s="1"/>
      <c r="L209" s="1"/>
      <c r="M209" s="1"/>
      <c r="N209" s="1"/>
    </row>
    <row r="210" spans="1:14" hidden="1" x14ac:dyDescent="0.25">
      <c r="A210" s="1"/>
      <c r="B210" s="16" t="s">
        <v>255</v>
      </c>
      <c r="C210" s="15" t="s">
        <v>433</v>
      </c>
      <c r="D210" s="15" t="s">
        <v>434</v>
      </c>
      <c r="E210" s="16" t="s">
        <v>120</v>
      </c>
      <c r="F210" s="17"/>
      <c r="G210" cm="1">
        <f t="array" ref="G210">IFERROR(_xlfn.XLOOKUP(Pedido891011121412131617181921192223[[#This Row],[Id de Producto]],[1]!Precios[[#All],[Id de Producto]],[1]!Precios[[#All],[Coste estándar]])*Pedido891011121412131617181921192223[[#This Row],[Pedido]],0)</f>
        <v>0</v>
      </c>
      <c r="H210" s="18">
        <v>0</v>
      </c>
      <c r="I210" s="16" t="s">
        <v>255</v>
      </c>
      <c r="J210" s="1"/>
      <c r="K210" s="1"/>
      <c r="L210" s="1"/>
      <c r="M210" s="1"/>
      <c r="N210" s="1"/>
    </row>
    <row r="211" spans="1:14" hidden="1" x14ac:dyDescent="0.25">
      <c r="A211" s="1"/>
      <c r="B211" s="16" t="s">
        <v>255</v>
      </c>
      <c r="C211" s="15" t="s">
        <v>435</v>
      </c>
      <c r="D211" s="15" t="s">
        <v>436</v>
      </c>
      <c r="E211" s="16" t="s">
        <v>18</v>
      </c>
      <c r="F211" s="17"/>
      <c r="G211" cm="1">
        <f t="array" ref="G211">IFERROR(_xlfn.XLOOKUP(Pedido891011121412131617181921192223[[#This Row],[Id de Producto]],[1]!Precios[[#All],[Id de Producto]],[1]!Precios[[#All],[Coste estándar]])*Pedido891011121412131617181921192223[[#This Row],[Pedido]],0)</f>
        <v>0</v>
      </c>
      <c r="H211" s="18">
        <v>0</v>
      </c>
      <c r="I211" s="16" t="s">
        <v>255</v>
      </c>
      <c r="J211" s="1"/>
      <c r="K211" s="1"/>
      <c r="L211" s="1"/>
      <c r="M211" s="1"/>
      <c r="N211" s="1"/>
    </row>
    <row r="212" spans="1:14" hidden="1" x14ac:dyDescent="0.25">
      <c r="A212" s="1"/>
      <c r="B212" s="16" t="s">
        <v>255</v>
      </c>
      <c r="C212" s="15" t="s">
        <v>437</v>
      </c>
      <c r="D212" s="15" t="s">
        <v>438</v>
      </c>
      <c r="E212" s="16" t="s">
        <v>26</v>
      </c>
      <c r="F212" s="17"/>
      <c r="G212" cm="1">
        <f t="array" ref="G212">IFERROR(_xlfn.XLOOKUP(Pedido891011121412131617181921192223[[#This Row],[Id de Producto]],[1]!Precios[[#All],[Id de Producto]],[1]!Precios[[#All],[Coste estándar]])*Pedido891011121412131617181921192223[[#This Row],[Pedido]],0)</f>
        <v>0</v>
      </c>
      <c r="H212" s="18">
        <v>0</v>
      </c>
      <c r="I212" s="16" t="s">
        <v>255</v>
      </c>
      <c r="J212" s="1"/>
      <c r="K212" s="1"/>
      <c r="L212" s="1"/>
      <c r="M212" s="1"/>
      <c r="N212" s="1"/>
    </row>
    <row r="213" spans="1:14" hidden="1" x14ac:dyDescent="0.25">
      <c r="A213" s="1"/>
      <c r="B213" s="16" t="s">
        <v>255</v>
      </c>
      <c r="C213" s="15" t="s">
        <v>439</v>
      </c>
      <c r="D213" s="15" t="s">
        <v>440</v>
      </c>
      <c r="E213" s="16" t="s">
        <v>26</v>
      </c>
      <c r="F213" s="17"/>
      <c r="G213" cm="1">
        <f t="array" ref="G213">IFERROR(_xlfn.XLOOKUP(Pedido891011121412131617181921192223[[#This Row],[Id de Producto]],[1]!Precios[[#All],[Id de Producto]],[1]!Precios[[#All],[Coste estándar]])*Pedido891011121412131617181921192223[[#This Row],[Pedido]],0)</f>
        <v>0</v>
      </c>
      <c r="H213" s="18">
        <v>0</v>
      </c>
      <c r="I213" s="16" t="s">
        <v>255</v>
      </c>
      <c r="J213" s="1"/>
      <c r="K213" s="1"/>
      <c r="L213" s="1"/>
      <c r="M213" s="1"/>
      <c r="N213" s="1"/>
    </row>
    <row r="214" spans="1:14" hidden="1" x14ac:dyDescent="0.25">
      <c r="A214" s="1"/>
      <c r="B214" s="16" t="s">
        <v>441</v>
      </c>
      <c r="C214" s="15" t="s">
        <v>442</v>
      </c>
      <c r="D214" s="15" t="s">
        <v>443</v>
      </c>
      <c r="E214" s="16" t="s">
        <v>26</v>
      </c>
      <c r="F214" s="17"/>
      <c r="G214" cm="1">
        <f t="array" ref="G214">IFERROR(_xlfn.XLOOKUP(Pedido891011121412131617181921192223[[#This Row],[Id de Producto]],[1]!Precios[[#All],[Id de Producto]],[1]!Precios[[#All],[Coste estándar]])*Pedido891011121412131617181921192223[[#This Row],[Pedido]],0)</f>
        <v>0</v>
      </c>
      <c r="H214" s="18">
        <v>0</v>
      </c>
      <c r="I214" s="15" t="s">
        <v>441</v>
      </c>
      <c r="J214" s="1"/>
      <c r="K214" s="1"/>
      <c r="L214" s="1"/>
      <c r="M214" s="1"/>
      <c r="N214" s="1"/>
    </row>
    <row r="215" spans="1:14" hidden="1" x14ac:dyDescent="0.25">
      <c r="A215" s="1"/>
      <c r="B215" s="16" t="s">
        <v>441</v>
      </c>
      <c r="C215" s="15" t="s">
        <v>444</v>
      </c>
      <c r="D215" s="15" t="s">
        <v>445</v>
      </c>
      <c r="E215" s="16" t="s">
        <v>26</v>
      </c>
      <c r="F215" s="17"/>
      <c r="G215" cm="1">
        <f t="array" ref="G215">IFERROR(_xlfn.XLOOKUP(Pedido891011121412131617181921192223[[#This Row],[Id de Producto]],[1]!Precios[[#All],[Id de Producto]],[1]!Precios[[#All],[Coste estándar]])*Pedido891011121412131617181921192223[[#This Row],[Pedido]],0)</f>
        <v>0</v>
      </c>
      <c r="H215" s="18">
        <v>0</v>
      </c>
      <c r="I215" s="15" t="s">
        <v>441</v>
      </c>
      <c r="J215" s="1"/>
      <c r="K215" s="1"/>
      <c r="L215" s="1"/>
      <c r="M215" s="1"/>
      <c r="N215" s="1"/>
    </row>
    <row r="216" spans="1:14" hidden="1" x14ac:dyDescent="0.25">
      <c r="A216" s="1"/>
      <c r="B216" s="16" t="s">
        <v>441</v>
      </c>
      <c r="C216" s="15" t="s">
        <v>446</v>
      </c>
      <c r="D216" s="15" t="s">
        <v>447</v>
      </c>
      <c r="E216" s="16" t="s">
        <v>26</v>
      </c>
      <c r="F216" s="17"/>
      <c r="G216" cm="1">
        <f t="array" ref="G216">IFERROR(_xlfn.XLOOKUP(Pedido891011121412131617181921192223[[#This Row],[Id de Producto]],[1]!Precios[[#All],[Id de Producto]],[1]!Precios[[#All],[Coste estándar]])*Pedido891011121412131617181921192223[[#This Row],[Pedido]],0)</f>
        <v>0</v>
      </c>
      <c r="H216" s="18">
        <v>0</v>
      </c>
      <c r="I216" s="15" t="s">
        <v>441</v>
      </c>
      <c r="J216" s="1"/>
      <c r="K216" s="1"/>
      <c r="L216" s="1"/>
      <c r="M216" s="1"/>
      <c r="N216" s="1"/>
    </row>
    <row r="217" spans="1:14" hidden="1" x14ac:dyDescent="0.25">
      <c r="A217" s="1"/>
      <c r="B217" s="15" t="s">
        <v>441</v>
      </c>
      <c r="C217" s="15" t="s">
        <v>448</v>
      </c>
      <c r="D217" s="15" t="s">
        <v>449</v>
      </c>
      <c r="E217" s="16" t="s">
        <v>26</v>
      </c>
      <c r="F217" s="17"/>
      <c r="G217" cm="1">
        <f t="array" ref="G217">IFERROR(_xlfn.XLOOKUP(Pedido891011121412131617181921192223[[#This Row],[Id de Producto]],[1]!Precios[[#All],[Id de Producto]],[1]!Precios[[#All],[Coste estándar]])*Pedido891011121412131617181921192223[[#This Row],[Pedido]],0)</f>
        <v>0</v>
      </c>
      <c r="H217" s="15">
        <v>0</v>
      </c>
      <c r="I217" s="15" t="s">
        <v>441</v>
      </c>
      <c r="J217" s="1"/>
      <c r="K217" s="1"/>
      <c r="L217" s="1"/>
      <c r="M217" s="1"/>
      <c r="N217" s="1"/>
    </row>
    <row r="218" spans="1:14" hidden="1" x14ac:dyDescent="0.25">
      <c r="A218" s="1"/>
      <c r="B218" s="16" t="s">
        <v>441</v>
      </c>
      <c r="C218" s="15" t="s">
        <v>450</v>
      </c>
      <c r="D218" s="15" t="s">
        <v>451</v>
      </c>
      <c r="E218" s="16" t="s">
        <v>26</v>
      </c>
      <c r="F218" s="17"/>
      <c r="G218" cm="1">
        <f t="array" ref="G218">IFERROR(_xlfn.XLOOKUP(Pedido891011121412131617181921192223[[#This Row],[Id de Producto]],[1]!Precios[[#All],[Id de Producto]],[1]!Precios[[#All],[Coste estándar]])*Pedido891011121412131617181921192223[[#This Row],[Pedido]],0)</f>
        <v>0</v>
      </c>
      <c r="H218" s="18">
        <v>0</v>
      </c>
      <c r="I218" s="15" t="s">
        <v>441</v>
      </c>
      <c r="J218" s="1"/>
      <c r="K218" s="1"/>
      <c r="L218" s="1"/>
      <c r="M218" s="1"/>
      <c r="N218" s="1"/>
    </row>
    <row r="219" spans="1:14" hidden="1" x14ac:dyDescent="0.25">
      <c r="A219" s="1"/>
      <c r="B219" s="16" t="s">
        <v>441</v>
      </c>
      <c r="C219" s="15" t="s">
        <v>452</v>
      </c>
      <c r="D219" s="15" t="s">
        <v>453</v>
      </c>
      <c r="E219" s="16" t="s">
        <v>26</v>
      </c>
      <c r="F219" s="17"/>
      <c r="G219" cm="1">
        <f t="array" ref="G219">IFERROR(_xlfn.XLOOKUP(Pedido891011121412131617181921192223[[#This Row],[Id de Producto]],[1]!Precios[[#All],[Id de Producto]],[1]!Precios[[#All],[Coste estándar]])*Pedido891011121412131617181921192223[[#This Row],[Pedido]],0)</f>
        <v>0</v>
      </c>
      <c r="H219" s="18">
        <v>0</v>
      </c>
      <c r="I219" s="15" t="s">
        <v>441</v>
      </c>
      <c r="J219" s="1"/>
      <c r="K219" s="1"/>
      <c r="L219" s="1"/>
      <c r="M219" s="1"/>
      <c r="N219" s="1"/>
    </row>
    <row r="220" spans="1:14" hidden="1" x14ac:dyDescent="0.25">
      <c r="A220" s="1"/>
      <c r="B220" s="16" t="s">
        <v>441</v>
      </c>
      <c r="C220" s="15" t="s">
        <v>454</v>
      </c>
      <c r="D220" s="15" t="s">
        <v>455</v>
      </c>
      <c r="E220" s="16" t="s">
        <v>26</v>
      </c>
      <c r="F220" s="17"/>
      <c r="G220" cm="1">
        <f t="array" ref="G220">IFERROR(_xlfn.XLOOKUP(Pedido891011121412131617181921192223[[#This Row],[Id de Producto]],[1]!Precios[[#All],[Id de Producto]],[1]!Precios[[#All],[Coste estándar]])*Pedido891011121412131617181921192223[[#This Row],[Pedido]],0)</f>
        <v>0</v>
      </c>
      <c r="H220" s="18">
        <v>0</v>
      </c>
      <c r="I220" s="15" t="s">
        <v>441</v>
      </c>
      <c r="J220" s="1"/>
      <c r="K220" s="1"/>
      <c r="L220" s="1"/>
      <c r="M220" s="1"/>
      <c r="N220" s="1"/>
    </row>
    <row r="221" spans="1:14" hidden="1" x14ac:dyDescent="0.25">
      <c r="A221" s="1"/>
      <c r="B221" s="16" t="s">
        <v>441</v>
      </c>
      <c r="C221" s="15" t="s">
        <v>456</v>
      </c>
      <c r="D221" s="15" t="s">
        <v>457</v>
      </c>
      <c r="E221" s="16" t="s">
        <v>26</v>
      </c>
      <c r="F221" s="17"/>
      <c r="G221" cm="1">
        <f t="array" ref="G221">IFERROR(_xlfn.XLOOKUP(Pedido891011121412131617181921192223[[#This Row],[Id de Producto]],[1]!Precios[[#All],[Id de Producto]],[1]!Precios[[#All],[Coste estándar]])*Pedido891011121412131617181921192223[[#This Row],[Pedido]],0)</f>
        <v>0</v>
      </c>
      <c r="H221" s="18">
        <v>0</v>
      </c>
      <c r="I221" s="15" t="s">
        <v>441</v>
      </c>
      <c r="J221" s="1"/>
      <c r="K221" s="1"/>
      <c r="L221" s="1"/>
      <c r="M221" s="1"/>
      <c r="N221" s="1"/>
    </row>
    <row r="222" spans="1:14" hidden="1" x14ac:dyDescent="0.25">
      <c r="A222" s="1"/>
      <c r="B222" s="16" t="s">
        <v>458</v>
      </c>
      <c r="C222" s="15" t="s">
        <v>459</v>
      </c>
      <c r="D222" s="15" t="s">
        <v>460</v>
      </c>
      <c r="E222" s="16" t="s">
        <v>26</v>
      </c>
      <c r="F222" s="17"/>
      <c r="G222" cm="1">
        <f t="array" ref="G222">IFERROR(_xlfn.XLOOKUP(Pedido891011121412131617181921192223[[#This Row],[Id de Producto]],[1]!Precios[[#All],[Id de Producto]],[1]!Precios[[#All],[Coste estándar]])*Pedido891011121412131617181921192223[[#This Row],[Pedido]],0)</f>
        <v>0</v>
      </c>
      <c r="H222" s="18">
        <v>0</v>
      </c>
      <c r="I222" s="16" t="s">
        <v>458</v>
      </c>
      <c r="J222" s="1"/>
      <c r="K222" s="1"/>
      <c r="L222" s="1"/>
      <c r="M222" s="1"/>
      <c r="N222" s="1"/>
    </row>
    <row r="223" spans="1:14" hidden="1" x14ac:dyDescent="0.25">
      <c r="A223" s="1"/>
      <c r="B223" s="16" t="s">
        <v>458</v>
      </c>
      <c r="C223" s="15" t="s">
        <v>461</v>
      </c>
      <c r="D223" s="15" t="s">
        <v>462</v>
      </c>
      <c r="E223" s="16" t="s">
        <v>26</v>
      </c>
      <c r="F223" s="17"/>
      <c r="G223" cm="1">
        <f t="array" ref="G223">IFERROR(_xlfn.XLOOKUP(Pedido891011121412131617181921192223[[#This Row],[Id de Producto]],[1]!Precios[[#All],[Id de Producto]],[1]!Precios[[#All],[Coste estándar]])*Pedido891011121412131617181921192223[[#This Row],[Pedido]],0)</f>
        <v>0</v>
      </c>
      <c r="H223" s="18">
        <v>0</v>
      </c>
      <c r="I223" s="16" t="s">
        <v>458</v>
      </c>
      <c r="J223" s="1"/>
      <c r="K223" s="1"/>
      <c r="L223" s="1"/>
      <c r="M223" s="1"/>
      <c r="N223" s="1"/>
    </row>
    <row r="224" spans="1:14" hidden="1" x14ac:dyDescent="0.25">
      <c r="A224" s="1"/>
      <c r="B224" s="16" t="s">
        <v>441</v>
      </c>
      <c r="C224" s="15" t="s">
        <v>463</v>
      </c>
      <c r="D224" s="15" t="s">
        <v>464</v>
      </c>
      <c r="E224" s="16" t="s">
        <v>26</v>
      </c>
      <c r="F224" s="17"/>
      <c r="G224" cm="1">
        <f t="array" ref="G224">IFERROR(_xlfn.XLOOKUP(Pedido891011121412131617181921192223[[#This Row],[Id de Producto]],[1]!Precios[[#All],[Id de Producto]],[1]!Precios[[#All],[Coste estándar]])*Pedido891011121412131617181921192223[[#This Row],[Pedido]],0)</f>
        <v>0</v>
      </c>
      <c r="H224" s="18">
        <v>0</v>
      </c>
      <c r="I224" s="15" t="s">
        <v>441</v>
      </c>
      <c r="J224" s="1"/>
      <c r="K224" s="1"/>
      <c r="L224" s="1"/>
      <c r="M224" s="1"/>
      <c r="N224" s="1"/>
    </row>
    <row r="225" spans="1:14" hidden="1" x14ac:dyDescent="0.25">
      <c r="A225" s="1"/>
      <c r="B225" s="16" t="s">
        <v>458</v>
      </c>
      <c r="C225" s="15" t="s">
        <v>465</v>
      </c>
      <c r="D225" s="15" t="s">
        <v>466</v>
      </c>
      <c r="E225" s="16" t="s">
        <v>26</v>
      </c>
      <c r="F225" s="17"/>
      <c r="G225" cm="1">
        <f t="array" ref="G225">IFERROR(_xlfn.XLOOKUP(Pedido891011121412131617181921192223[[#This Row],[Id de Producto]],[1]!Precios[[#All],[Id de Producto]],[1]!Precios[[#All],[Coste estándar]])*Pedido891011121412131617181921192223[[#This Row],[Pedido]],0)</f>
        <v>0</v>
      </c>
      <c r="H225" s="18">
        <v>0</v>
      </c>
      <c r="I225" s="16" t="s">
        <v>458</v>
      </c>
      <c r="J225" s="1"/>
      <c r="K225" s="1"/>
      <c r="L225" s="1"/>
      <c r="M225" s="1"/>
      <c r="N225" s="1"/>
    </row>
    <row r="226" spans="1:14" hidden="1" x14ac:dyDescent="0.25">
      <c r="A226" s="1"/>
      <c r="B226" s="16" t="s">
        <v>441</v>
      </c>
      <c r="C226" s="15" t="s">
        <v>467</v>
      </c>
      <c r="D226" s="15" t="s">
        <v>468</v>
      </c>
      <c r="E226" s="16" t="s">
        <v>26</v>
      </c>
      <c r="F226" s="17"/>
      <c r="G226" cm="1">
        <f t="array" ref="G226">IFERROR(_xlfn.XLOOKUP(Pedido891011121412131617181921192223[[#This Row],[Id de Producto]],[1]!Precios[[#All],[Id de Producto]],[1]!Precios[[#All],[Coste estándar]])*Pedido891011121412131617181921192223[[#This Row],[Pedido]],0)</f>
        <v>0</v>
      </c>
      <c r="H226" s="18">
        <v>0</v>
      </c>
      <c r="I226" s="15" t="s">
        <v>441</v>
      </c>
      <c r="J226" s="1"/>
      <c r="K226" s="1"/>
      <c r="L226" s="1"/>
      <c r="M226" s="1"/>
      <c r="N226" s="1"/>
    </row>
    <row r="227" spans="1:14" hidden="1" x14ac:dyDescent="0.25">
      <c r="A227" s="1"/>
      <c r="B227" s="16" t="s">
        <v>441</v>
      </c>
      <c r="C227" s="15" t="s">
        <v>469</v>
      </c>
      <c r="D227" s="15" t="s">
        <v>470</v>
      </c>
      <c r="E227" s="16" t="s">
        <v>26</v>
      </c>
      <c r="F227" s="17"/>
      <c r="G227" cm="1">
        <f t="array" ref="G227">IFERROR(_xlfn.XLOOKUP(Pedido891011121412131617181921192223[[#This Row],[Id de Producto]],[1]!Precios[[#All],[Id de Producto]],[1]!Precios[[#All],[Coste estándar]])*Pedido891011121412131617181921192223[[#This Row],[Pedido]],0)</f>
        <v>0</v>
      </c>
      <c r="H227" s="18">
        <v>0</v>
      </c>
      <c r="I227" s="15" t="s">
        <v>441</v>
      </c>
      <c r="J227" s="1"/>
      <c r="K227" s="1"/>
      <c r="L227" s="1"/>
      <c r="M227" s="1"/>
      <c r="N227" s="1"/>
    </row>
    <row r="228" spans="1:14" hidden="1" x14ac:dyDescent="0.25">
      <c r="A228" s="1"/>
      <c r="B228" s="16" t="s">
        <v>441</v>
      </c>
      <c r="C228" s="15" t="s">
        <v>471</v>
      </c>
      <c r="D228" s="15" t="s">
        <v>472</v>
      </c>
      <c r="E228" s="16" t="s">
        <v>22</v>
      </c>
      <c r="F228" s="17"/>
      <c r="G228" cm="1">
        <f t="array" ref="G228">IFERROR(_xlfn.XLOOKUP(Pedido891011121412131617181921192223[[#This Row],[Id de Producto]],[1]!Precios[[#All],[Id de Producto]],[1]!Precios[[#All],[Coste estándar]])*Pedido891011121412131617181921192223[[#This Row],[Pedido]],0)</f>
        <v>0</v>
      </c>
      <c r="H228" s="18">
        <v>0</v>
      </c>
      <c r="I228" s="15" t="s">
        <v>441</v>
      </c>
      <c r="J228" s="1"/>
      <c r="K228" s="1"/>
      <c r="L228" s="1"/>
      <c r="M228" s="1"/>
      <c r="N228" s="1"/>
    </row>
    <row r="229" spans="1:14" hidden="1" x14ac:dyDescent="0.25">
      <c r="A229" s="1"/>
      <c r="B229" s="16" t="s">
        <v>441</v>
      </c>
      <c r="C229" s="15" t="s">
        <v>473</v>
      </c>
      <c r="D229" s="15" t="s">
        <v>474</v>
      </c>
      <c r="E229" s="16" t="s">
        <v>26</v>
      </c>
      <c r="F229" s="17"/>
      <c r="G229" cm="1">
        <f t="array" ref="G229">IFERROR(_xlfn.XLOOKUP(Pedido891011121412131617181921192223[[#This Row],[Id de Producto]],[1]!Precios[[#All],[Id de Producto]],[1]!Precios[[#All],[Coste estándar]])*Pedido891011121412131617181921192223[[#This Row],[Pedido]],0)</f>
        <v>0</v>
      </c>
      <c r="H229" s="18">
        <v>0</v>
      </c>
      <c r="I229" s="15" t="s">
        <v>441</v>
      </c>
      <c r="J229" s="1"/>
      <c r="K229" s="1"/>
      <c r="L229" s="1"/>
      <c r="M229" s="1"/>
      <c r="N229" s="1"/>
    </row>
    <row r="230" spans="1:14" hidden="1" x14ac:dyDescent="0.25">
      <c r="A230" s="1"/>
      <c r="B230" s="16" t="s">
        <v>441</v>
      </c>
      <c r="C230" s="15" t="s">
        <v>475</v>
      </c>
      <c r="D230" s="15" t="s">
        <v>476</v>
      </c>
      <c r="E230" s="16" t="s">
        <v>26</v>
      </c>
      <c r="F230" s="17"/>
      <c r="G230" cm="1">
        <f t="array" ref="G230">IFERROR(_xlfn.XLOOKUP(Pedido891011121412131617181921192223[[#This Row],[Id de Producto]],[1]!Precios[[#All],[Id de Producto]],[1]!Precios[[#All],[Coste estándar]])*Pedido891011121412131617181921192223[[#This Row],[Pedido]],0)</f>
        <v>0</v>
      </c>
      <c r="H230" s="18">
        <v>0</v>
      </c>
      <c r="I230" s="15" t="s">
        <v>441</v>
      </c>
      <c r="J230" s="1"/>
      <c r="K230" s="1"/>
      <c r="L230" s="1"/>
      <c r="M230" s="1"/>
      <c r="N230" s="1"/>
    </row>
    <row r="231" spans="1:14" hidden="1" x14ac:dyDescent="0.25">
      <c r="A231" s="1"/>
      <c r="B231" s="16" t="s">
        <v>441</v>
      </c>
      <c r="C231" s="15" t="s">
        <v>477</v>
      </c>
      <c r="D231" s="15" t="s">
        <v>478</v>
      </c>
      <c r="E231" s="16" t="s">
        <v>26</v>
      </c>
      <c r="F231" s="17"/>
      <c r="G231" cm="1">
        <f t="array" ref="G231">IFERROR(_xlfn.XLOOKUP(Pedido891011121412131617181921192223[[#This Row],[Id de Producto]],[1]!Precios[[#All],[Id de Producto]],[1]!Precios[[#All],[Coste estándar]])*Pedido891011121412131617181921192223[[#This Row],[Pedido]],0)</f>
        <v>0</v>
      </c>
      <c r="H231" s="18">
        <v>0</v>
      </c>
      <c r="I231" s="15" t="s">
        <v>441</v>
      </c>
      <c r="J231" s="1"/>
      <c r="K231" s="1"/>
      <c r="L231" s="1"/>
      <c r="M231" s="1"/>
      <c r="N231" s="1"/>
    </row>
    <row r="232" spans="1:14" hidden="1" x14ac:dyDescent="0.25">
      <c r="A232" s="1"/>
      <c r="B232" s="15" t="s">
        <v>441</v>
      </c>
      <c r="C232" s="15" t="s">
        <v>479</v>
      </c>
      <c r="D232" s="15" t="s">
        <v>480</v>
      </c>
      <c r="E232" s="16" t="s">
        <v>26</v>
      </c>
      <c r="F232" s="17"/>
      <c r="G232" cm="1">
        <f t="array" ref="G232">IFERROR(_xlfn.XLOOKUP(Pedido891011121412131617181921192223[[#This Row],[Id de Producto]],[1]!Precios[[#All],[Id de Producto]],[1]!Precios[[#All],[Coste estándar]])*Pedido891011121412131617181921192223[[#This Row],[Pedido]],0)</f>
        <v>0</v>
      </c>
      <c r="H232" s="18">
        <v>0</v>
      </c>
      <c r="I232" s="15" t="s">
        <v>441</v>
      </c>
      <c r="J232" s="1"/>
      <c r="K232" s="1"/>
      <c r="L232" s="1"/>
      <c r="M232" s="1"/>
      <c r="N232" s="1"/>
    </row>
    <row r="233" spans="1:14" hidden="1" x14ac:dyDescent="0.25">
      <c r="A233" s="1"/>
      <c r="B233" s="16" t="s">
        <v>441</v>
      </c>
      <c r="C233" s="15" t="s">
        <v>481</v>
      </c>
      <c r="D233" s="15" t="s">
        <v>482</v>
      </c>
      <c r="E233" s="16" t="s">
        <v>26</v>
      </c>
      <c r="F233" s="17"/>
      <c r="G233" cm="1">
        <f t="array" ref="G233">IFERROR(_xlfn.XLOOKUP(Pedido891011121412131617181921192223[[#This Row],[Id de Producto]],[1]!Precios[[#All],[Id de Producto]],[1]!Precios[[#All],[Coste estándar]])*Pedido891011121412131617181921192223[[#This Row],[Pedido]],0)</f>
        <v>0</v>
      </c>
      <c r="H233" s="18">
        <v>0</v>
      </c>
      <c r="I233" s="15" t="s">
        <v>441</v>
      </c>
      <c r="J233" s="1"/>
      <c r="K233" s="1"/>
      <c r="L233" s="1"/>
      <c r="M233" s="1"/>
      <c r="N233" s="1"/>
    </row>
    <row r="234" spans="1:14" hidden="1" x14ac:dyDescent="0.25">
      <c r="A234" s="1"/>
      <c r="B234" s="16" t="s">
        <v>441</v>
      </c>
      <c r="C234" s="15" t="s">
        <v>483</v>
      </c>
      <c r="D234" s="15" t="s">
        <v>484</v>
      </c>
      <c r="E234" s="16" t="s">
        <v>22</v>
      </c>
      <c r="F234" s="17"/>
      <c r="G234" cm="1">
        <f t="array" ref="G234">IFERROR(_xlfn.XLOOKUP(Pedido891011121412131617181921192223[[#This Row],[Id de Producto]],[1]!Precios[[#All],[Id de Producto]],[1]!Precios[[#All],[Coste estándar]])*Pedido891011121412131617181921192223[[#This Row],[Pedido]],0)</f>
        <v>0</v>
      </c>
      <c r="H234" s="18">
        <v>0</v>
      </c>
      <c r="I234" s="15" t="s">
        <v>441</v>
      </c>
      <c r="J234" s="1"/>
      <c r="K234" s="1"/>
      <c r="L234" s="1"/>
      <c r="M234" s="1"/>
      <c r="N234" s="1"/>
    </row>
    <row r="235" spans="1:14" hidden="1" x14ac:dyDescent="0.25">
      <c r="A235" s="1"/>
      <c r="B235" s="15" t="s">
        <v>441</v>
      </c>
      <c r="C235" s="15" t="s">
        <v>485</v>
      </c>
      <c r="D235" s="15" t="s">
        <v>486</v>
      </c>
      <c r="E235" s="15" t="s">
        <v>26</v>
      </c>
      <c r="F235" s="17"/>
      <c r="G235" cm="1">
        <f t="array" ref="G235">IFERROR(_xlfn.XLOOKUP(Pedido891011121412131617181921192223[[#This Row],[Id de Producto]],[1]!Precios[[#All],[Id de Producto]],[1]!Precios[[#All],[Coste estándar]])*Pedido891011121412131617181921192223[[#This Row],[Pedido]],0)</f>
        <v>0</v>
      </c>
      <c r="H235" s="18">
        <v>0</v>
      </c>
      <c r="I235" s="15" t="s">
        <v>441</v>
      </c>
      <c r="J235" s="1"/>
      <c r="K235" s="1"/>
      <c r="L235" s="1"/>
      <c r="M235" s="1"/>
      <c r="N235" s="1"/>
    </row>
    <row r="236" spans="1:14" hidden="1" x14ac:dyDescent="0.25">
      <c r="A236" s="1"/>
      <c r="B236" s="16" t="s">
        <v>441</v>
      </c>
      <c r="C236" s="15" t="s">
        <v>487</v>
      </c>
      <c r="D236" s="15" t="s">
        <v>488</v>
      </c>
      <c r="E236" s="16" t="s">
        <v>26</v>
      </c>
      <c r="F236" s="17"/>
      <c r="G236" cm="1">
        <f t="array" ref="G236">IFERROR(_xlfn.XLOOKUP(Pedido891011121412131617181921192223[[#This Row],[Id de Producto]],[1]!Precios[[#All],[Id de Producto]],[1]!Precios[[#All],[Coste estándar]])*Pedido891011121412131617181921192223[[#This Row],[Pedido]],0)</f>
        <v>0</v>
      </c>
      <c r="H236" s="18">
        <v>0</v>
      </c>
      <c r="I236" s="15" t="s">
        <v>441</v>
      </c>
      <c r="J236" s="1"/>
      <c r="K236" s="1"/>
      <c r="L236" s="1"/>
      <c r="M236" s="1"/>
      <c r="N236" s="1"/>
    </row>
    <row r="237" spans="1:14" hidden="1" x14ac:dyDescent="0.25">
      <c r="A237" s="1"/>
      <c r="B237" s="16" t="s">
        <v>441</v>
      </c>
      <c r="C237" s="15" t="s">
        <v>489</v>
      </c>
      <c r="D237" s="15" t="s">
        <v>490</v>
      </c>
      <c r="E237" s="16" t="s">
        <v>22</v>
      </c>
      <c r="F237" s="17"/>
      <c r="G237" cm="1">
        <f t="array" ref="G237">IFERROR(_xlfn.XLOOKUP(Pedido891011121412131617181921192223[[#This Row],[Id de Producto]],[1]!Precios[[#All],[Id de Producto]],[1]!Precios[[#All],[Coste estándar]])*Pedido891011121412131617181921192223[[#This Row],[Pedido]],0)</f>
        <v>0</v>
      </c>
      <c r="H237" s="18">
        <v>0</v>
      </c>
      <c r="I237" s="15" t="s">
        <v>441</v>
      </c>
      <c r="J237" s="1"/>
      <c r="K237" s="1"/>
      <c r="L237" s="1"/>
      <c r="M237" s="1"/>
      <c r="N237" s="1"/>
    </row>
    <row r="238" spans="1:14" hidden="1" x14ac:dyDescent="0.25">
      <c r="A238" s="1"/>
      <c r="B238" s="16" t="s">
        <v>441</v>
      </c>
      <c r="C238" s="15" t="s">
        <v>491</v>
      </c>
      <c r="D238" s="15" t="s">
        <v>492</v>
      </c>
      <c r="E238" s="16" t="s">
        <v>22</v>
      </c>
      <c r="F238" s="17"/>
      <c r="G238" cm="1">
        <f t="array" ref="G238">IFERROR(_xlfn.XLOOKUP(Pedido891011121412131617181921192223[[#This Row],[Id de Producto]],[1]!Precios[[#All],[Id de Producto]],[1]!Precios[[#All],[Coste estándar]])*Pedido891011121412131617181921192223[[#This Row],[Pedido]],0)</f>
        <v>0</v>
      </c>
      <c r="H238" s="18">
        <v>0</v>
      </c>
      <c r="I238" s="15" t="s">
        <v>441</v>
      </c>
      <c r="J238" s="1"/>
      <c r="K238" s="1"/>
      <c r="L238" s="1"/>
      <c r="M238" s="1"/>
      <c r="N238" s="1"/>
    </row>
    <row r="239" spans="1:14" hidden="1" x14ac:dyDescent="0.25">
      <c r="A239" s="1"/>
      <c r="B239" s="16" t="s">
        <v>441</v>
      </c>
      <c r="C239" s="15" t="s">
        <v>493</v>
      </c>
      <c r="D239" s="15" t="s">
        <v>494</v>
      </c>
      <c r="E239" s="16" t="s">
        <v>26</v>
      </c>
      <c r="F239" s="17"/>
      <c r="G239" cm="1">
        <f t="array" ref="G239">IFERROR(_xlfn.XLOOKUP(Pedido891011121412131617181921192223[[#This Row],[Id de Producto]],[1]!Precios[[#All],[Id de Producto]],[1]!Precios[[#All],[Coste estándar]])*Pedido891011121412131617181921192223[[#This Row],[Pedido]],0)</f>
        <v>0</v>
      </c>
      <c r="H239" s="18">
        <v>0</v>
      </c>
      <c r="I239" s="15" t="s">
        <v>441</v>
      </c>
      <c r="J239" s="1"/>
      <c r="K239" s="1"/>
      <c r="L239" s="1"/>
      <c r="M239" s="1"/>
      <c r="N239" s="1"/>
    </row>
    <row r="240" spans="1:14" hidden="1" x14ac:dyDescent="0.25">
      <c r="A240" s="1"/>
      <c r="B240" s="15" t="s">
        <v>441</v>
      </c>
      <c r="C240" s="15" t="s">
        <v>495</v>
      </c>
      <c r="D240" s="15" t="s">
        <v>496</v>
      </c>
      <c r="E240" s="16" t="s">
        <v>26</v>
      </c>
      <c r="F240" s="17"/>
      <c r="G240" cm="1">
        <f t="array" ref="G240">IFERROR(_xlfn.XLOOKUP(Pedido891011121412131617181921192223[[#This Row],[Id de Producto]],[1]!Precios[[#All],[Id de Producto]],[1]!Precios[[#All],[Coste estándar]])*Pedido891011121412131617181921192223[[#This Row],[Pedido]],0)</f>
        <v>0</v>
      </c>
      <c r="H240" s="18">
        <v>0</v>
      </c>
      <c r="I240" s="15" t="s">
        <v>441</v>
      </c>
      <c r="J240" s="1"/>
      <c r="K240" s="1"/>
      <c r="L240" s="1"/>
      <c r="M240" s="1"/>
      <c r="N240" s="1"/>
    </row>
    <row r="241" spans="1:14" hidden="1" x14ac:dyDescent="0.25">
      <c r="A241" s="1"/>
      <c r="B241" s="16" t="s">
        <v>441</v>
      </c>
      <c r="C241" s="15" t="s">
        <v>497</v>
      </c>
      <c r="D241" s="15" t="s">
        <v>498</v>
      </c>
      <c r="E241" s="16" t="s">
        <v>26</v>
      </c>
      <c r="F241" s="17"/>
      <c r="G241" cm="1">
        <f t="array" ref="G241">IFERROR(_xlfn.XLOOKUP(Pedido891011121412131617181921192223[[#This Row],[Id de Producto]],[1]!Precios[[#All],[Id de Producto]],[1]!Precios[[#All],[Coste estándar]])*Pedido891011121412131617181921192223[[#This Row],[Pedido]],0)</f>
        <v>0</v>
      </c>
      <c r="H241" s="18">
        <v>0</v>
      </c>
      <c r="I241" s="15" t="s">
        <v>441</v>
      </c>
      <c r="J241" s="1"/>
      <c r="K241" s="1"/>
      <c r="L241" s="1"/>
      <c r="M241" s="1"/>
      <c r="N241" s="1"/>
    </row>
    <row r="242" spans="1:14" hidden="1" x14ac:dyDescent="0.25">
      <c r="A242" s="1"/>
      <c r="B242" s="15" t="s">
        <v>441</v>
      </c>
      <c r="C242" s="15" t="s">
        <v>499</v>
      </c>
      <c r="D242" s="15" t="s">
        <v>500</v>
      </c>
      <c r="E242" s="15" t="s">
        <v>26</v>
      </c>
      <c r="F242" s="17"/>
      <c r="G242" cm="1">
        <f t="array" ref="G242">IFERROR(_xlfn.XLOOKUP(Pedido891011121412131617181921192223[[#This Row],[Id de Producto]],[1]!Precios[[#All],[Id de Producto]],[1]!Precios[[#All],[Coste estándar]])*Pedido891011121412131617181921192223[[#This Row],[Pedido]],0)</f>
        <v>0</v>
      </c>
      <c r="H242" s="18">
        <v>0</v>
      </c>
      <c r="I242" s="15" t="s">
        <v>441</v>
      </c>
      <c r="J242" s="1"/>
      <c r="K242" s="1"/>
      <c r="L242" s="1"/>
      <c r="M242" s="1"/>
      <c r="N242" s="1"/>
    </row>
    <row r="243" spans="1:14" hidden="1" x14ac:dyDescent="0.25">
      <c r="A243" s="1"/>
      <c r="B243" s="16" t="s">
        <v>441</v>
      </c>
      <c r="C243" s="15" t="s">
        <v>501</v>
      </c>
      <c r="D243" s="15" t="s">
        <v>502</v>
      </c>
      <c r="E243" s="16" t="s">
        <v>22</v>
      </c>
      <c r="F243" s="17"/>
      <c r="G243" cm="1">
        <f t="array" ref="G243">IFERROR(_xlfn.XLOOKUP(Pedido891011121412131617181921192223[[#This Row],[Id de Producto]],[1]!Precios[[#All],[Id de Producto]],[1]!Precios[[#All],[Coste estándar]])*Pedido891011121412131617181921192223[[#This Row],[Pedido]],0)</f>
        <v>0</v>
      </c>
      <c r="H243" s="18">
        <v>0</v>
      </c>
      <c r="I243" s="15" t="s">
        <v>441</v>
      </c>
      <c r="J243" s="1"/>
      <c r="K243" s="1"/>
      <c r="L243" s="1"/>
      <c r="M243" s="1"/>
      <c r="N243" s="1"/>
    </row>
    <row r="244" spans="1:14" hidden="1" x14ac:dyDescent="0.25">
      <c r="A244" s="1"/>
      <c r="B244" s="16" t="s">
        <v>441</v>
      </c>
      <c r="C244" s="15" t="s">
        <v>503</v>
      </c>
      <c r="D244" s="15" t="s">
        <v>504</v>
      </c>
      <c r="E244" s="16" t="s">
        <v>22</v>
      </c>
      <c r="F244" s="17"/>
      <c r="G244" cm="1">
        <f t="array" ref="G244">IFERROR(_xlfn.XLOOKUP(Pedido891011121412131617181921192223[[#This Row],[Id de Producto]],[1]!Precios[[#All],[Id de Producto]],[1]!Precios[[#All],[Coste estándar]])*Pedido891011121412131617181921192223[[#This Row],[Pedido]],0)</f>
        <v>0</v>
      </c>
      <c r="H244" s="18">
        <v>0</v>
      </c>
      <c r="I244" s="15" t="s">
        <v>441</v>
      </c>
      <c r="J244" s="1"/>
      <c r="K244" s="1"/>
      <c r="L244" s="1"/>
      <c r="M244" s="1"/>
      <c r="N244" s="1"/>
    </row>
    <row r="245" spans="1:14" hidden="1" x14ac:dyDescent="0.25">
      <c r="A245" s="1"/>
      <c r="B245" s="16" t="s">
        <v>441</v>
      </c>
      <c r="C245" s="15" t="s">
        <v>505</v>
      </c>
      <c r="D245" s="15" t="s">
        <v>506</v>
      </c>
      <c r="E245" s="16" t="s">
        <v>26</v>
      </c>
      <c r="F245" s="17"/>
      <c r="G245" cm="1">
        <f t="array" ref="G245">IFERROR(_xlfn.XLOOKUP(Pedido891011121412131617181921192223[[#This Row],[Id de Producto]],[1]!Precios[[#All],[Id de Producto]],[1]!Precios[[#All],[Coste estándar]])*Pedido891011121412131617181921192223[[#This Row],[Pedido]],0)</f>
        <v>0</v>
      </c>
      <c r="H245" s="18">
        <v>0</v>
      </c>
      <c r="I245" s="15" t="s">
        <v>441</v>
      </c>
      <c r="J245" s="1"/>
      <c r="K245" s="1"/>
      <c r="L245" s="1"/>
      <c r="M245" s="1"/>
      <c r="N245" s="1"/>
    </row>
    <row r="246" spans="1:14" hidden="1" x14ac:dyDescent="0.25">
      <c r="A246" s="1"/>
      <c r="B246" s="16" t="s">
        <v>441</v>
      </c>
      <c r="C246" s="15" t="s">
        <v>507</v>
      </c>
      <c r="D246" s="15" t="s">
        <v>508</v>
      </c>
      <c r="E246" s="15" t="s">
        <v>26</v>
      </c>
      <c r="F246" s="17"/>
      <c r="G246" cm="1">
        <f t="array" ref="G246">IFERROR(_xlfn.XLOOKUP(Pedido891011121412131617181921192223[[#This Row],[Id de Producto]],[1]!Precios[[#All],[Id de Producto]],[1]!Precios[[#All],[Coste estándar]])*Pedido891011121412131617181921192223[[#This Row],[Pedido]],0)</f>
        <v>0</v>
      </c>
      <c r="H246" s="18">
        <v>0</v>
      </c>
      <c r="I246" s="15" t="s">
        <v>441</v>
      </c>
      <c r="J246" s="1"/>
      <c r="K246" s="1"/>
      <c r="L246" s="1"/>
      <c r="M246" s="1"/>
      <c r="N246" s="1"/>
    </row>
    <row r="247" spans="1:14" hidden="1" x14ac:dyDescent="0.25">
      <c r="A247" s="1"/>
      <c r="B247" s="16" t="s">
        <v>441</v>
      </c>
      <c r="C247" s="15" t="s">
        <v>509</v>
      </c>
      <c r="D247" s="15" t="s">
        <v>510</v>
      </c>
      <c r="E247" s="15" t="s">
        <v>26</v>
      </c>
      <c r="F247" s="17"/>
      <c r="G247" cm="1">
        <f t="array" ref="G247">IFERROR(_xlfn.XLOOKUP(Pedido891011121412131617181921192223[[#This Row],[Id de Producto]],[1]!Precios[[#All],[Id de Producto]],[1]!Precios[[#All],[Coste estándar]])*Pedido891011121412131617181921192223[[#This Row],[Pedido]],0)</f>
        <v>0</v>
      </c>
      <c r="H247" s="18">
        <v>0</v>
      </c>
      <c r="I247" s="15" t="s">
        <v>441</v>
      </c>
      <c r="J247" s="1"/>
      <c r="K247" s="1"/>
      <c r="L247" s="1"/>
      <c r="M247" s="1"/>
      <c r="N247" s="1"/>
    </row>
    <row r="248" spans="1:14" hidden="1" x14ac:dyDescent="0.25">
      <c r="A248" s="1"/>
      <c r="B248" s="16" t="s">
        <v>441</v>
      </c>
      <c r="C248" s="15" t="s">
        <v>511</v>
      </c>
      <c r="D248" s="15" t="s">
        <v>512</v>
      </c>
      <c r="E248" s="15" t="s">
        <v>26</v>
      </c>
      <c r="F248" s="17"/>
      <c r="G248" cm="1">
        <f t="array" ref="G248">IFERROR(_xlfn.XLOOKUP(Pedido891011121412131617181921192223[[#This Row],[Id de Producto]],[1]!Precios[[#All],[Id de Producto]],[1]!Precios[[#All],[Coste estándar]])*Pedido891011121412131617181921192223[[#This Row],[Pedido]],0)</f>
        <v>0</v>
      </c>
      <c r="H248" s="18">
        <v>0</v>
      </c>
      <c r="I248" s="15" t="s">
        <v>441</v>
      </c>
      <c r="J248" s="1"/>
      <c r="K248" s="1"/>
      <c r="L248" s="1"/>
      <c r="M248" s="1"/>
      <c r="N248" s="1"/>
    </row>
    <row r="249" spans="1:14" hidden="1" x14ac:dyDescent="0.25">
      <c r="A249" s="1"/>
      <c r="B249" s="16" t="s">
        <v>441</v>
      </c>
      <c r="C249" s="15" t="s">
        <v>513</v>
      </c>
      <c r="D249" s="15" t="s">
        <v>514</v>
      </c>
      <c r="E249" s="15" t="s">
        <v>22</v>
      </c>
      <c r="F249" s="17"/>
      <c r="G249" cm="1">
        <f t="array" ref="G249">IFERROR(_xlfn.XLOOKUP(Pedido891011121412131617181921192223[[#This Row],[Id de Producto]],[1]!Precios[[#All],[Id de Producto]],[1]!Precios[[#All],[Coste estándar]])*Pedido891011121412131617181921192223[[#This Row],[Pedido]],0)</f>
        <v>0</v>
      </c>
      <c r="H249" s="18">
        <v>0</v>
      </c>
      <c r="I249" s="15" t="s">
        <v>441</v>
      </c>
      <c r="J249" s="1"/>
      <c r="K249" s="1"/>
      <c r="L249" s="1"/>
      <c r="M249" s="1"/>
      <c r="N249" s="1"/>
    </row>
    <row r="250" spans="1:14" hidden="1" x14ac:dyDescent="0.25">
      <c r="A250" s="1"/>
      <c r="B250" s="16" t="s">
        <v>441</v>
      </c>
      <c r="C250" s="16" t="s">
        <v>515</v>
      </c>
      <c r="D250" s="16" t="s">
        <v>516</v>
      </c>
      <c r="E250" s="15" t="s">
        <v>22</v>
      </c>
      <c r="F250" s="17"/>
      <c r="G250" cm="1">
        <f t="array" ref="G250">IFERROR(_xlfn.XLOOKUP(Pedido891011121412131617181921192223[[#This Row],[Id de Producto]],[1]!Precios[[#All],[Id de Producto]],[1]!Precios[[#All],[Coste estándar]])*Pedido891011121412131617181921192223[[#This Row],[Pedido]],0)</f>
        <v>0</v>
      </c>
      <c r="H250" s="18">
        <v>0</v>
      </c>
      <c r="I250" s="15" t="s">
        <v>441</v>
      </c>
      <c r="J250" s="1"/>
      <c r="K250" s="1"/>
      <c r="L250" s="1"/>
      <c r="M250" s="1"/>
      <c r="N250" s="1"/>
    </row>
    <row r="251" spans="1:14" hidden="1" x14ac:dyDescent="0.25">
      <c r="A251" s="1"/>
      <c r="B251" s="15" t="s">
        <v>458</v>
      </c>
      <c r="C251" s="15" t="s">
        <v>517</v>
      </c>
      <c r="D251" s="15" t="s">
        <v>518</v>
      </c>
      <c r="E251" s="15" t="s">
        <v>120</v>
      </c>
      <c r="F251" s="17"/>
      <c r="G251" cm="1">
        <f t="array" ref="G251">IFERROR(_xlfn.XLOOKUP(Pedido891011121412131617181921192223[[#This Row],[Id de Producto]],[1]!Precios[[#All],[Id de Producto]],[1]!Precios[[#All],[Coste estándar]])*Pedido891011121412131617181921192223[[#This Row],[Pedido]],0)</f>
        <v>0</v>
      </c>
      <c r="H251" s="18">
        <v>0</v>
      </c>
      <c r="I251" s="16" t="s">
        <v>458</v>
      </c>
      <c r="J251" s="1"/>
      <c r="K251" s="1"/>
      <c r="L251" s="1"/>
      <c r="M251" s="1"/>
      <c r="N251" s="1"/>
    </row>
    <row r="252" spans="1:14" hidden="1" x14ac:dyDescent="0.25">
      <c r="A252" s="1"/>
      <c r="B252" s="16" t="s">
        <v>102</v>
      </c>
      <c r="C252" s="15" t="s">
        <v>517</v>
      </c>
      <c r="D252" s="15" t="s">
        <v>518</v>
      </c>
      <c r="E252" s="15" t="s">
        <v>18</v>
      </c>
      <c r="F252" s="17"/>
      <c r="G252" s="14" cm="1">
        <f t="array" ref="G252">IFERROR(_xlfn.XLOOKUP(Pedido891011121412131617181921192223[[#This Row],[Id de Producto]],[1]!Precios[[#All],[Id de Producto]],[1]!Precios[[#All],[Coste estándar]])*Pedido891011121412131617181921192223[[#This Row],[Pedido]],0)</f>
        <v>0</v>
      </c>
      <c r="H252" s="18">
        <v>0</v>
      </c>
      <c r="I252" s="16" t="s">
        <v>102</v>
      </c>
      <c r="J252" s="1"/>
      <c r="K252" s="1"/>
      <c r="L252" s="1"/>
      <c r="M252" s="1"/>
      <c r="N252" s="1"/>
    </row>
    <row r="253" spans="1:14" hidden="1" x14ac:dyDescent="0.25">
      <c r="A253" s="1"/>
      <c r="B253" s="16" t="s">
        <v>441</v>
      </c>
      <c r="C253" s="15" t="s">
        <v>519</v>
      </c>
      <c r="D253" s="15" t="s">
        <v>520</v>
      </c>
      <c r="E253" s="15" t="s">
        <v>26</v>
      </c>
      <c r="F253" s="17"/>
      <c r="G253" cm="1">
        <f t="array" ref="G253">IFERROR(_xlfn.XLOOKUP(Pedido891011121412131617181921192223[[#This Row],[Id de Producto]],[1]!Precios[[#All],[Id de Producto]],[1]!Precios[[#All],[Coste estándar]])*Pedido891011121412131617181921192223[[#This Row],[Pedido]],0)</f>
        <v>0</v>
      </c>
      <c r="H253" s="18">
        <v>0</v>
      </c>
      <c r="I253" s="15" t="s">
        <v>441</v>
      </c>
      <c r="J253" s="1"/>
      <c r="K253" s="1"/>
      <c r="L253" s="1"/>
      <c r="M253" s="1"/>
      <c r="N253" s="1"/>
    </row>
    <row r="254" spans="1:14" hidden="1" x14ac:dyDescent="0.25">
      <c r="A254" s="1"/>
      <c r="B254" s="15" t="s">
        <v>441</v>
      </c>
      <c r="C254" s="15" t="s">
        <v>521</v>
      </c>
      <c r="D254" s="15" t="s">
        <v>522</v>
      </c>
      <c r="E254" s="15" t="s">
        <v>26</v>
      </c>
      <c r="F254" s="17"/>
      <c r="G254" cm="1">
        <f t="array" ref="G254">IFERROR(_xlfn.XLOOKUP(Pedido891011121412131617181921192223[[#This Row],[Id de Producto]],[1]!Precios[[#All],[Id de Producto]],[1]!Precios[[#All],[Coste estándar]])*Pedido891011121412131617181921192223[[#This Row],[Pedido]],0)</f>
        <v>0</v>
      </c>
      <c r="H254" s="18">
        <v>0</v>
      </c>
      <c r="I254" s="15" t="s">
        <v>441</v>
      </c>
      <c r="J254" s="1"/>
      <c r="K254" s="1"/>
      <c r="L254" s="1"/>
      <c r="M254" s="1"/>
      <c r="N254" s="1"/>
    </row>
    <row r="255" spans="1:14" hidden="1" x14ac:dyDescent="0.25">
      <c r="A255" s="1"/>
      <c r="B255" s="15" t="s">
        <v>441</v>
      </c>
      <c r="C255" s="15" t="s">
        <v>523</v>
      </c>
      <c r="D255" s="15" t="s">
        <v>524</v>
      </c>
      <c r="E255" s="15" t="s">
        <v>26</v>
      </c>
      <c r="F255" s="17"/>
      <c r="G255" cm="1">
        <f t="array" ref="G255">IFERROR(_xlfn.XLOOKUP(Pedido891011121412131617181921192223[[#This Row],[Id de Producto]],[1]!Precios[[#All],[Id de Producto]],[1]!Precios[[#All],[Coste estándar]])*Pedido891011121412131617181921192223[[#This Row],[Pedido]],0)</f>
        <v>0</v>
      </c>
      <c r="H255" s="18">
        <v>0</v>
      </c>
      <c r="I255" s="15" t="s">
        <v>441</v>
      </c>
      <c r="J255" s="1"/>
      <c r="K255" s="1"/>
      <c r="L255" s="1"/>
      <c r="M255" s="1"/>
      <c r="N255" s="1"/>
    </row>
    <row r="256" spans="1:14" hidden="1" x14ac:dyDescent="0.25">
      <c r="A256" s="1"/>
      <c r="B256" s="15" t="s">
        <v>102</v>
      </c>
      <c r="C256" s="15" t="s">
        <v>525</v>
      </c>
      <c r="D256" s="15" t="s">
        <v>526</v>
      </c>
      <c r="E256" s="15" t="s">
        <v>26</v>
      </c>
      <c r="F256" s="17"/>
      <c r="G256" cm="1">
        <f t="array" ref="G256">IFERROR(_xlfn.XLOOKUP(Pedido891011121412131617181921192223[[#This Row],[Id de Producto]],[1]!Precios[[#All],[Id de Producto]],[1]!Precios[[#All],[Coste estándar]])*Pedido891011121412131617181921192223[[#This Row],[Pedido]],0)</f>
        <v>0</v>
      </c>
      <c r="H256" s="18">
        <v>0</v>
      </c>
      <c r="I256" s="16" t="s">
        <v>102</v>
      </c>
      <c r="J256" s="1"/>
      <c r="K256" s="1"/>
      <c r="L256" s="1"/>
      <c r="M256" s="1"/>
      <c r="N256" s="1"/>
    </row>
    <row r="257" spans="1:14" hidden="1" x14ac:dyDescent="0.25">
      <c r="A257" s="1"/>
      <c r="B257" s="15" t="s">
        <v>441</v>
      </c>
      <c r="C257" s="15" t="s">
        <v>527</v>
      </c>
      <c r="D257" s="15" t="s">
        <v>528</v>
      </c>
      <c r="E257" s="15" t="s">
        <v>26</v>
      </c>
      <c r="F257" s="17"/>
      <c r="G257" cm="1">
        <f t="array" ref="G257">IFERROR(_xlfn.XLOOKUP(Pedido891011121412131617181921192223[[#This Row],[Id de Producto]],[1]!Precios[[#All],[Id de Producto]],[1]!Precios[[#All],[Coste estándar]])*Pedido891011121412131617181921192223[[#This Row],[Pedido]],0)</f>
        <v>0</v>
      </c>
      <c r="H257" s="18">
        <v>0</v>
      </c>
      <c r="I257" s="15" t="s">
        <v>441</v>
      </c>
      <c r="J257" s="1"/>
      <c r="K257" s="1"/>
      <c r="L257" s="1"/>
      <c r="M257" s="1"/>
      <c r="N257" s="1"/>
    </row>
    <row r="258" spans="1:14" hidden="1" x14ac:dyDescent="0.25">
      <c r="A258" s="1"/>
      <c r="B258" s="16" t="s">
        <v>441</v>
      </c>
      <c r="C258" s="15" t="s">
        <v>529</v>
      </c>
      <c r="D258" s="15" t="s">
        <v>530</v>
      </c>
      <c r="E258" s="15" t="s">
        <v>26</v>
      </c>
      <c r="F258" s="17"/>
      <c r="G258" cm="1">
        <f t="array" ref="G258">IFERROR(_xlfn.XLOOKUP(Pedido891011121412131617181921192223[[#This Row],[Id de Producto]],[1]!Precios[[#All],[Id de Producto]],[1]!Precios[[#All],[Coste estándar]])*Pedido891011121412131617181921192223[[#This Row],[Pedido]],0)</f>
        <v>0</v>
      </c>
      <c r="H258" s="18">
        <v>0</v>
      </c>
      <c r="I258" s="15" t="s">
        <v>441</v>
      </c>
      <c r="J258" s="1"/>
      <c r="K258" s="1"/>
      <c r="L258" s="1"/>
      <c r="M258" s="1"/>
      <c r="N258" s="1"/>
    </row>
    <row r="259" spans="1:14" hidden="1" x14ac:dyDescent="0.25">
      <c r="A259" s="1"/>
      <c r="B259" s="15" t="s">
        <v>441</v>
      </c>
      <c r="C259" s="15" t="s">
        <v>531</v>
      </c>
      <c r="D259" s="15" t="s">
        <v>532</v>
      </c>
      <c r="E259" s="15" t="s">
        <v>26</v>
      </c>
      <c r="F259" s="17"/>
      <c r="G259" cm="1">
        <f t="array" ref="G259">IFERROR(_xlfn.XLOOKUP(Pedido891011121412131617181921192223[[#This Row],[Id de Producto]],[1]!Precios[[#All],[Id de Producto]],[1]!Precios[[#All],[Coste estándar]])*Pedido891011121412131617181921192223[[#This Row],[Pedido]],0)</f>
        <v>0</v>
      </c>
      <c r="H259" s="18">
        <v>0</v>
      </c>
      <c r="I259" s="15" t="s">
        <v>441</v>
      </c>
      <c r="J259" s="1"/>
      <c r="K259" s="1"/>
      <c r="L259" s="1"/>
      <c r="M259" s="1"/>
      <c r="N259" s="1"/>
    </row>
    <row r="260" spans="1:14" hidden="1" x14ac:dyDescent="0.25">
      <c r="A260" s="1"/>
      <c r="B260" s="15" t="s">
        <v>255</v>
      </c>
      <c r="C260" s="15" t="s">
        <v>533</v>
      </c>
      <c r="D260" s="15" t="s">
        <v>534</v>
      </c>
      <c r="E260" s="15" t="s">
        <v>22</v>
      </c>
      <c r="F260" s="17"/>
      <c r="G260" cm="1">
        <f t="array" ref="G260">IFERROR(_xlfn.XLOOKUP(Pedido891011121412131617181921192223[[#This Row],[Id de Producto]],[1]!Precios[[#All],[Id de Producto]],[1]!Precios[[#All],[Coste estándar]])*Pedido891011121412131617181921192223[[#This Row],[Pedido]],0)</f>
        <v>0</v>
      </c>
      <c r="H260" s="18">
        <v>0</v>
      </c>
      <c r="I260" s="16" t="s">
        <v>255</v>
      </c>
      <c r="J260" s="1"/>
      <c r="K260" s="1"/>
      <c r="L260" s="1"/>
      <c r="M260" s="1"/>
      <c r="N260" s="1"/>
    </row>
    <row r="261" spans="1:14" hidden="1" x14ac:dyDescent="0.25">
      <c r="A261" s="1"/>
      <c r="B261" s="15" t="s">
        <v>441</v>
      </c>
      <c r="C261" s="15" t="s">
        <v>535</v>
      </c>
      <c r="D261" s="15" t="s">
        <v>536</v>
      </c>
      <c r="E261" s="15" t="s">
        <v>22</v>
      </c>
      <c r="F261" s="17"/>
      <c r="G261" cm="1">
        <f t="array" ref="G261">IFERROR(_xlfn.XLOOKUP(Pedido891011121412131617181921192223[[#This Row],[Id de Producto]],[1]!Precios[[#All],[Id de Producto]],[1]!Precios[[#All],[Coste estándar]])*Pedido891011121412131617181921192223[[#This Row],[Pedido]],0)</f>
        <v>0</v>
      </c>
      <c r="H261" s="18">
        <v>0</v>
      </c>
      <c r="I261" s="15" t="s">
        <v>441</v>
      </c>
      <c r="J261" s="1"/>
      <c r="K261" s="1"/>
      <c r="L261" s="1"/>
      <c r="M261" s="1"/>
      <c r="N261" s="1"/>
    </row>
    <row r="262" spans="1:14" hidden="1" x14ac:dyDescent="0.25">
      <c r="A262" s="1"/>
      <c r="B262" s="15" t="s">
        <v>441</v>
      </c>
      <c r="C262" s="15" t="s">
        <v>537</v>
      </c>
      <c r="D262" s="15" t="s">
        <v>538</v>
      </c>
      <c r="E262" s="15" t="s">
        <v>26</v>
      </c>
      <c r="F262" s="17"/>
      <c r="G262" cm="1">
        <f t="array" ref="G262">IFERROR(_xlfn.XLOOKUP(Pedido891011121412131617181921192223[[#This Row],[Id de Producto]],[1]!Precios[[#All],[Id de Producto]],[1]!Precios[[#All],[Coste estándar]])*Pedido891011121412131617181921192223[[#This Row],[Pedido]],0)</f>
        <v>0</v>
      </c>
      <c r="H262" s="18">
        <v>0</v>
      </c>
      <c r="I262" s="15" t="s">
        <v>441</v>
      </c>
      <c r="J262" s="1"/>
      <c r="K262" s="1"/>
      <c r="L262" s="1"/>
      <c r="M262" s="1"/>
      <c r="N262" s="1"/>
    </row>
    <row r="263" spans="1:14" hidden="1" x14ac:dyDescent="0.25">
      <c r="A263" s="1"/>
      <c r="B263" s="15" t="s">
        <v>255</v>
      </c>
      <c r="C263" s="15" t="s">
        <v>539</v>
      </c>
      <c r="D263" s="15" t="s">
        <v>540</v>
      </c>
      <c r="E263" s="15" t="s">
        <v>26</v>
      </c>
      <c r="F263" s="17"/>
      <c r="G263" cm="1">
        <f t="array" ref="G263">IFERROR(_xlfn.XLOOKUP(Pedido891011121412131617181921192223[[#This Row],[Id de Producto]],[1]!Precios[[#All],[Id de Producto]],[1]!Precios[[#All],[Coste estándar]])*Pedido891011121412131617181921192223[[#This Row],[Pedido]],0)</f>
        <v>0</v>
      </c>
      <c r="H263" s="18">
        <v>0</v>
      </c>
      <c r="I263" s="16" t="s">
        <v>255</v>
      </c>
      <c r="J263" s="1"/>
      <c r="K263" s="1"/>
      <c r="L263" s="1"/>
      <c r="M263" s="1"/>
      <c r="N263" s="1"/>
    </row>
    <row r="264" spans="1:14" hidden="1" x14ac:dyDescent="0.25">
      <c r="A264" s="1"/>
      <c r="B264" s="15" t="s">
        <v>255</v>
      </c>
      <c r="C264" s="15" t="s">
        <v>541</v>
      </c>
      <c r="D264" s="15" t="s">
        <v>542</v>
      </c>
      <c r="E264" s="15" t="s">
        <v>22</v>
      </c>
      <c r="F264" s="17"/>
      <c r="G264" cm="1">
        <f t="array" ref="G264">IFERROR(_xlfn.XLOOKUP(Pedido891011121412131617181921192223[[#This Row],[Id de Producto]],[1]!Precios[[#All],[Id de Producto]],[1]!Precios[[#All],[Coste estándar]])*Pedido891011121412131617181921192223[[#This Row],[Pedido]],0)</f>
        <v>0</v>
      </c>
      <c r="H264" s="18">
        <v>0</v>
      </c>
      <c r="I264" s="16" t="s">
        <v>255</v>
      </c>
      <c r="J264" s="1"/>
      <c r="K264" s="1"/>
      <c r="L264" s="1"/>
      <c r="M264" s="1"/>
      <c r="N264" s="1"/>
    </row>
    <row r="265" spans="1:14" hidden="1" x14ac:dyDescent="0.25">
      <c r="A265" s="1"/>
      <c r="B265" s="15" t="s">
        <v>102</v>
      </c>
      <c r="C265" s="15" t="s">
        <v>543</v>
      </c>
      <c r="D265" s="15" t="s">
        <v>544</v>
      </c>
      <c r="E265" s="15" t="s">
        <v>26</v>
      </c>
      <c r="F265" s="17"/>
      <c r="G265" cm="1">
        <f t="array" ref="G265">IFERROR(_xlfn.XLOOKUP(Pedido891011121412131617181921192223[[#This Row],[Id de Producto]],[1]!Precios[[#All],[Id de Producto]],[1]!Precios[[#All],[Coste estándar]])*Pedido891011121412131617181921192223[[#This Row],[Pedido]],0)</f>
        <v>0</v>
      </c>
      <c r="H265" s="18">
        <v>0</v>
      </c>
      <c r="I265" s="16" t="s">
        <v>102</v>
      </c>
      <c r="J265" s="1"/>
      <c r="K265" s="1"/>
      <c r="L265" s="1"/>
      <c r="M265" s="1"/>
      <c r="N265" s="1"/>
    </row>
    <row r="266" spans="1:14" hidden="1" x14ac:dyDescent="0.25">
      <c r="A266" s="1"/>
      <c r="B266" s="15" t="s">
        <v>255</v>
      </c>
      <c r="C266" s="15" t="s">
        <v>545</v>
      </c>
      <c r="D266" s="15" t="s">
        <v>546</v>
      </c>
      <c r="E266" s="15" t="s">
        <v>22</v>
      </c>
      <c r="F266" s="17"/>
      <c r="G266" cm="1">
        <f t="array" ref="G266">IFERROR(_xlfn.XLOOKUP(Pedido891011121412131617181921192223[[#This Row],[Id de Producto]],[1]!Precios[[#All],[Id de Producto]],[1]!Precios[[#All],[Coste estándar]])*Pedido891011121412131617181921192223[[#This Row],[Pedido]],0)</f>
        <v>0</v>
      </c>
      <c r="H266" s="18">
        <v>0</v>
      </c>
      <c r="I266" s="16" t="s">
        <v>255</v>
      </c>
      <c r="J266" s="1"/>
      <c r="K266" s="1"/>
      <c r="L266" s="1"/>
      <c r="M266" s="1"/>
      <c r="N266" s="1"/>
    </row>
    <row r="267" spans="1:14" hidden="1" x14ac:dyDescent="0.25">
      <c r="A267" s="1"/>
      <c r="B267" s="15" t="s">
        <v>255</v>
      </c>
      <c r="C267" s="15" t="s">
        <v>547</v>
      </c>
      <c r="D267" s="15" t="s">
        <v>548</v>
      </c>
      <c r="E267" s="15" t="s">
        <v>26</v>
      </c>
      <c r="F267" s="17"/>
      <c r="G267" cm="1">
        <f t="array" ref="G267">IFERROR(_xlfn.XLOOKUP(Pedido891011121412131617181921192223[[#This Row],[Id de Producto]],[1]!Precios[[#All],[Id de Producto]],[1]!Precios[[#All],[Coste estándar]])*Pedido891011121412131617181921192223[[#This Row],[Pedido]],0)</f>
        <v>0</v>
      </c>
      <c r="H267" s="18">
        <v>0</v>
      </c>
      <c r="I267" s="16" t="s">
        <v>255</v>
      </c>
      <c r="J267" s="1"/>
      <c r="K267" s="1"/>
      <c r="L267" s="1"/>
      <c r="M267" s="1"/>
      <c r="N267" s="1"/>
    </row>
    <row r="268" spans="1:14" hidden="1" x14ac:dyDescent="0.25">
      <c r="A268" s="1"/>
      <c r="B268" s="16" t="s">
        <v>255</v>
      </c>
      <c r="C268" s="15" t="s">
        <v>549</v>
      </c>
      <c r="D268" s="15" t="s">
        <v>550</v>
      </c>
      <c r="E268" s="16" t="s">
        <v>26</v>
      </c>
      <c r="F268" s="17"/>
      <c r="G268" cm="1">
        <f t="array" ref="G268">IFERROR(_xlfn.XLOOKUP(Pedido891011121412131617181921192223[[#This Row],[Id de Producto]],[1]!Precios[[#All],[Id de Producto]],[1]!Precios[[#All],[Coste estándar]])*Pedido891011121412131617181921192223[[#This Row],[Pedido]],0)</f>
        <v>0</v>
      </c>
      <c r="H268" s="18">
        <v>0</v>
      </c>
      <c r="I268" s="16" t="s">
        <v>255</v>
      </c>
      <c r="J268" s="1"/>
      <c r="K268" s="1"/>
      <c r="L268" s="1"/>
      <c r="M268" s="1"/>
      <c r="N268" s="1"/>
    </row>
    <row r="269" spans="1:14" hidden="1" x14ac:dyDescent="0.25">
      <c r="A269" s="1"/>
      <c r="B269" s="15" t="s">
        <v>255</v>
      </c>
      <c r="C269" s="15" t="s">
        <v>551</v>
      </c>
      <c r="D269" s="15" t="s">
        <v>552</v>
      </c>
      <c r="E269" s="16" t="s">
        <v>22</v>
      </c>
      <c r="F269" s="17"/>
      <c r="G269" cm="1">
        <f t="array" ref="G269">IFERROR(_xlfn.XLOOKUP(Pedido891011121412131617181921192223[[#This Row],[Id de Producto]],[1]!Precios[[#All],[Id de Producto]],[1]!Precios[[#All],[Coste estándar]])*Pedido891011121412131617181921192223[[#This Row],[Pedido]],0)</f>
        <v>0</v>
      </c>
      <c r="H269" s="18">
        <v>0</v>
      </c>
      <c r="I269" s="16" t="s">
        <v>255</v>
      </c>
      <c r="J269" s="1"/>
      <c r="K269" s="1"/>
      <c r="L269" s="1"/>
      <c r="M269" s="1"/>
      <c r="N269" s="1"/>
    </row>
    <row r="270" spans="1:14" hidden="1" x14ac:dyDescent="0.25">
      <c r="A270" s="1"/>
      <c r="B270" s="15" t="s">
        <v>441</v>
      </c>
      <c r="C270" s="15" t="s">
        <v>553</v>
      </c>
      <c r="D270" s="15" t="s">
        <v>554</v>
      </c>
      <c r="E270" s="15" t="s">
        <v>26</v>
      </c>
      <c r="F270" s="17"/>
      <c r="G270" cm="1">
        <f t="array" ref="G270">IFERROR(_xlfn.XLOOKUP(Pedido891011121412131617181921192223[[#This Row],[Id de Producto]],[1]!Precios[[#All],[Id de Producto]],[1]!Precios[[#All],[Coste estándar]])*Pedido891011121412131617181921192223[[#This Row],[Pedido]],0)</f>
        <v>0</v>
      </c>
      <c r="H270" s="18">
        <v>0</v>
      </c>
      <c r="I270" s="15" t="s">
        <v>441</v>
      </c>
      <c r="J270" s="1"/>
      <c r="K270" s="1"/>
      <c r="L270" s="1"/>
      <c r="M270" s="1"/>
      <c r="N270" s="1"/>
    </row>
    <row r="271" spans="1:14" hidden="1" x14ac:dyDescent="0.25">
      <c r="A271" s="1"/>
      <c r="B271" s="15" t="s">
        <v>441</v>
      </c>
      <c r="C271" s="15" t="s">
        <v>555</v>
      </c>
      <c r="D271" s="15" t="s">
        <v>556</v>
      </c>
      <c r="E271" s="16" t="s">
        <v>22</v>
      </c>
      <c r="F271" s="17"/>
      <c r="G271" cm="1">
        <f t="array" ref="G271">IFERROR(_xlfn.XLOOKUP(Pedido891011121412131617181921192223[[#This Row],[Id de Producto]],[1]!Precios[[#All],[Id de Producto]],[1]!Precios[[#All],[Coste estándar]])*Pedido891011121412131617181921192223[[#This Row],[Pedido]],0)</f>
        <v>0</v>
      </c>
      <c r="H271" s="18">
        <v>0</v>
      </c>
      <c r="I271" s="15" t="s">
        <v>441</v>
      </c>
      <c r="J271" s="1"/>
      <c r="K271" s="1"/>
      <c r="L271" s="1"/>
      <c r="M271" s="1"/>
      <c r="N271" s="1"/>
    </row>
    <row r="272" spans="1:14" hidden="1" x14ac:dyDescent="0.25">
      <c r="A272" s="1"/>
      <c r="B272" s="16" t="s">
        <v>441</v>
      </c>
      <c r="C272" s="16" t="s">
        <v>557</v>
      </c>
      <c r="D272" s="15" t="s">
        <v>558</v>
      </c>
      <c r="E272" s="16" t="s">
        <v>26</v>
      </c>
      <c r="F272" s="17"/>
      <c r="G272" cm="1">
        <f t="array" ref="G272">IFERROR(_xlfn.XLOOKUP(Pedido891011121412131617181921192223[[#This Row],[Id de Producto]],[1]!Precios[[#All],[Id de Producto]],[1]!Precios[[#All],[Coste estándar]])*Pedido891011121412131617181921192223[[#This Row],[Pedido]],0)</f>
        <v>0</v>
      </c>
      <c r="H272" s="18">
        <v>0</v>
      </c>
      <c r="I272" s="15" t="s">
        <v>441</v>
      </c>
      <c r="J272" s="1"/>
      <c r="K272" s="1"/>
      <c r="L272" s="1"/>
      <c r="M272" s="1"/>
      <c r="N272" s="1"/>
    </row>
    <row r="273" spans="1:14" hidden="1" x14ac:dyDescent="0.25">
      <c r="A273" s="1"/>
      <c r="B273" s="16" t="s">
        <v>441</v>
      </c>
      <c r="C273" s="15" t="s">
        <v>559</v>
      </c>
      <c r="D273" s="15" t="s">
        <v>560</v>
      </c>
      <c r="E273" s="16" t="s">
        <v>26</v>
      </c>
      <c r="F273" s="17"/>
      <c r="G273" cm="1">
        <f t="array" ref="G273">IFERROR(_xlfn.XLOOKUP(Pedido891011121412131617181921192223[[#This Row],[Id de Producto]],[1]!Precios[[#All],[Id de Producto]],[1]!Precios[[#All],[Coste estándar]])*Pedido891011121412131617181921192223[[#This Row],[Pedido]],0)</f>
        <v>0</v>
      </c>
      <c r="H273" s="18">
        <v>0</v>
      </c>
      <c r="I273" s="15" t="s">
        <v>441</v>
      </c>
      <c r="J273" s="1"/>
      <c r="K273" s="1"/>
      <c r="L273" s="1"/>
      <c r="M273" s="1"/>
      <c r="N273" s="1"/>
    </row>
    <row r="274" spans="1:14" hidden="1" x14ac:dyDescent="0.25">
      <c r="A274" s="1"/>
      <c r="B274" s="16" t="s">
        <v>441</v>
      </c>
      <c r="C274" s="15" t="s">
        <v>561</v>
      </c>
      <c r="D274" s="15" t="s">
        <v>562</v>
      </c>
      <c r="E274" s="16" t="s">
        <v>26</v>
      </c>
      <c r="F274" s="17"/>
      <c r="G274" cm="1">
        <f t="array" ref="G274">IFERROR(_xlfn.XLOOKUP(Pedido891011121412131617181921192223[[#This Row],[Id de Producto]],[1]!Precios[[#All],[Id de Producto]],[1]!Precios[[#All],[Coste estándar]])*Pedido891011121412131617181921192223[[#This Row],[Pedido]],0)</f>
        <v>0</v>
      </c>
      <c r="H274" s="18">
        <v>0</v>
      </c>
      <c r="I274" s="15" t="s">
        <v>441</v>
      </c>
      <c r="J274" s="1"/>
      <c r="K274" s="1"/>
      <c r="L274" s="1"/>
      <c r="M274" s="1"/>
      <c r="N274" s="1"/>
    </row>
    <row r="275" spans="1:14" hidden="1" x14ac:dyDescent="0.25">
      <c r="A275" s="1"/>
      <c r="B275" s="15" t="s">
        <v>441</v>
      </c>
      <c r="C275" s="15" t="s">
        <v>563</v>
      </c>
      <c r="D275" s="15" t="s">
        <v>564</v>
      </c>
      <c r="E275" s="15" t="s">
        <v>26</v>
      </c>
      <c r="F275" s="17"/>
      <c r="G275" cm="1">
        <f t="array" ref="G275">IFERROR(_xlfn.XLOOKUP(Pedido891011121412131617181921192223[[#This Row],[Id de Producto]],[1]!Precios[[#All],[Id de Producto]],[1]!Precios[[#All],[Coste estándar]])*Pedido891011121412131617181921192223[[#This Row],[Pedido]],0)</f>
        <v>0</v>
      </c>
      <c r="H275" s="18">
        <v>0</v>
      </c>
      <c r="I275" s="15" t="s">
        <v>441</v>
      </c>
      <c r="J275" s="1"/>
      <c r="K275" s="1"/>
      <c r="L275" s="1"/>
      <c r="M275" s="1"/>
      <c r="N275" s="1"/>
    </row>
    <row r="276" spans="1:14" hidden="1" x14ac:dyDescent="0.25">
      <c r="A276" s="1"/>
      <c r="B276" s="16" t="s">
        <v>441</v>
      </c>
      <c r="C276" s="15" t="s">
        <v>565</v>
      </c>
      <c r="D276" s="15" t="s">
        <v>566</v>
      </c>
      <c r="E276" s="16" t="s">
        <v>26</v>
      </c>
      <c r="F276" s="17"/>
      <c r="G276" cm="1">
        <f t="array" ref="G276">IFERROR(_xlfn.XLOOKUP(Pedido891011121412131617181921192223[[#This Row],[Id de Producto]],[1]!Precios[[#All],[Id de Producto]],[1]!Precios[[#All],[Coste estándar]])*Pedido891011121412131617181921192223[[#This Row],[Pedido]],0)</f>
        <v>0</v>
      </c>
      <c r="H276" s="18">
        <v>0</v>
      </c>
      <c r="I276" s="15" t="s">
        <v>441</v>
      </c>
      <c r="J276" s="1"/>
      <c r="K276" s="1"/>
      <c r="L276" s="1"/>
      <c r="M276" s="1"/>
      <c r="N276" s="1"/>
    </row>
    <row r="277" spans="1:14" hidden="1" x14ac:dyDescent="0.25">
      <c r="A277" s="1"/>
      <c r="B277" s="16" t="s">
        <v>441</v>
      </c>
      <c r="C277" s="15" t="s">
        <v>567</v>
      </c>
      <c r="D277" s="15" t="s">
        <v>568</v>
      </c>
      <c r="E277" s="16" t="s">
        <v>26</v>
      </c>
      <c r="F277" s="17"/>
      <c r="G277" cm="1">
        <f t="array" ref="G277">IFERROR(_xlfn.XLOOKUP(Pedido891011121412131617181921192223[[#This Row],[Id de Producto]],[1]!Precios[[#All],[Id de Producto]],[1]!Precios[[#All],[Coste estándar]])*Pedido891011121412131617181921192223[[#This Row],[Pedido]],0)</f>
        <v>0</v>
      </c>
      <c r="H277" s="18">
        <v>0</v>
      </c>
      <c r="I277" s="15" t="s">
        <v>441</v>
      </c>
      <c r="J277" s="1"/>
      <c r="K277" s="1"/>
      <c r="L277" s="1"/>
      <c r="M277" s="1"/>
      <c r="N277" s="1"/>
    </row>
    <row r="278" spans="1:14" hidden="1" x14ac:dyDescent="0.25">
      <c r="A278" s="1"/>
      <c r="B278" s="16" t="s">
        <v>441</v>
      </c>
      <c r="C278" s="15" t="s">
        <v>569</v>
      </c>
      <c r="D278" s="15" t="s">
        <v>570</v>
      </c>
      <c r="E278" s="16" t="s">
        <v>26</v>
      </c>
      <c r="F278" s="17"/>
      <c r="G278" cm="1">
        <f t="array" ref="G278">IFERROR(_xlfn.XLOOKUP(Pedido891011121412131617181921192223[[#This Row],[Id de Producto]],[1]!Precios[[#All],[Id de Producto]],[1]!Precios[[#All],[Coste estándar]])*Pedido891011121412131617181921192223[[#This Row],[Pedido]],0)</f>
        <v>0</v>
      </c>
      <c r="H278" s="18">
        <v>0</v>
      </c>
      <c r="I278" s="15" t="s">
        <v>441</v>
      </c>
      <c r="J278" s="1"/>
      <c r="K278" s="1"/>
      <c r="L278" s="1"/>
      <c r="M278" s="1"/>
      <c r="N278" s="1"/>
    </row>
    <row r="279" spans="1:14" hidden="1" x14ac:dyDescent="0.25">
      <c r="A279" s="1"/>
      <c r="B279" s="16" t="s">
        <v>441</v>
      </c>
      <c r="C279" s="15" t="s">
        <v>571</v>
      </c>
      <c r="D279" s="15" t="s">
        <v>572</v>
      </c>
      <c r="E279" s="16" t="s">
        <v>26</v>
      </c>
      <c r="F279" s="17"/>
      <c r="G279" cm="1">
        <f t="array" ref="G279">IFERROR(_xlfn.XLOOKUP(Pedido891011121412131617181921192223[[#This Row],[Id de Producto]],[1]!Precios[[#All],[Id de Producto]],[1]!Precios[[#All],[Coste estándar]])*Pedido891011121412131617181921192223[[#This Row],[Pedido]],0)</f>
        <v>0</v>
      </c>
      <c r="H279" s="18">
        <v>0</v>
      </c>
      <c r="I279" s="15" t="s">
        <v>441</v>
      </c>
      <c r="J279" s="1"/>
      <c r="K279" s="1"/>
      <c r="L279" s="1"/>
      <c r="M279" s="1"/>
      <c r="N279" s="1"/>
    </row>
    <row r="280" spans="1:14" hidden="1" x14ac:dyDescent="0.25">
      <c r="A280" s="1"/>
      <c r="B280" s="16" t="s">
        <v>441</v>
      </c>
      <c r="C280" s="15" t="s">
        <v>573</v>
      </c>
      <c r="D280" s="15" t="s">
        <v>574</v>
      </c>
      <c r="E280" s="16" t="s">
        <v>26</v>
      </c>
      <c r="F280" s="17"/>
      <c r="G280" cm="1">
        <f t="array" ref="G280">IFERROR(_xlfn.XLOOKUP(Pedido891011121412131617181921192223[[#This Row],[Id de Producto]],[1]!Precios[[#All],[Id de Producto]],[1]!Precios[[#All],[Coste estándar]])*Pedido891011121412131617181921192223[[#This Row],[Pedido]],0)</f>
        <v>0</v>
      </c>
      <c r="H280" s="18">
        <v>0</v>
      </c>
      <c r="I280" s="15" t="s">
        <v>441</v>
      </c>
      <c r="J280" s="1"/>
      <c r="K280" s="1"/>
      <c r="L280" s="1"/>
      <c r="M280" s="1"/>
      <c r="N280" s="1"/>
    </row>
    <row r="281" spans="1:14" hidden="1" x14ac:dyDescent="0.25">
      <c r="A281" s="1"/>
      <c r="B281" s="16" t="s">
        <v>441</v>
      </c>
      <c r="C281" s="15" t="s">
        <v>575</v>
      </c>
      <c r="D281" s="15" t="s">
        <v>576</v>
      </c>
      <c r="E281" s="16" t="s">
        <v>26</v>
      </c>
      <c r="F281" s="17"/>
      <c r="G281" cm="1">
        <f t="array" ref="G281">IFERROR(_xlfn.XLOOKUP(Pedido891011121412131617181921192223[[#This Row],[Id de Producto]],[1]!Precios[[#All],[Id de Producto]],[1]!Precios[[#All],[Coste estándar]])*Pedido891011121412131617181921192223[[#This Row],[Pedido]],0)</f>
        <v>0</v>
      </c>
      <c r="H281" s="18">
        <v>0</v>
      </c>
      <c r="I281" s="15" t="s">
        <v>441</v>
      </c>
      <c r="J281" s="1"/>
      <c r="K281" s="1"/>
      <c r="L281" s="1"/>
      <c r="M281" s="1"/>
      <c r="N281" s="1"/>
    </row>
    <row r="282" spans="1:14" hidden="1" x14ac:dyDescent="0.25">
      <c r="A282" s="1"/>
      <c r="B282" s="16" t="s">
        <v>441</v>
      </c>
      <c r="C282" s="15" t="s">
        <v>577</v>
      </c>
      <c r="D282" s="15" t="s">
        <v>578</v>
      </c>
      <c r="E282" s="16" t="s">
        <v>26</v>
      </c>
      <c r="F282" s="17"/>
      <c r="G282" cm="1">
        <f t="array" ref="G282">IFERROR(_xlfn.XLOOKUP(Pedido891011121412131617181921192223[[#This Row],[Id de Producto]],[1]!Precios[[#All],[Id de Producto]],[1]!Precios[[#All],[Coste estándar]])*Pedido891011121412131617181921192223[[#This Row],[Pedido]],0)</f>
        <v>0</v>
      </c>
      <c r="H282" s="18">
        <v>0</v>
      </c>
      <c r="I282" s="15" t="s">
        <v>441</v>
      </c>
      <c r="J282" s="1"/>
      <c r="K282" s="1"/>
      <c r="L282" s="1"/>
      <c r="M282" s="1"/>
      <c r="N282" s="1"/>
    </row>
    <row r="283" spans="1:14" hidden="1" x14ac:dyDescent="0.25">
      <c r="A283" s="1"/>
      <c r="B283" s="16" t="s">
        <v>441</v>
      </c>
      <c r="C283" s="15" t="s">
        <v>579</v>
      </c>
      <c r="D283" s="15" t="s">
        <v>580</v>
      </c>
      <c r="E283" s="16" t="s">
        <v>26</v>
      </c>
      <c r="F283" s="17"/>
      <c r="G283" cm="1">
        <f t="array" ref="G283">IFERROR(_xlfn.XLOOKUP(Pedido891011121412131617181921192223[[#This Row],[Id de Producto]],[1]!Precios[[#All],[Id de Producto]],[1]!Precios[[#All],[Coste estándar]])*Pedido891011121412131617181921192223[[#This Row],[Pedido]],0)</f>
        <v>0</v>
      </c>
      <c r="H283" s="18">
        <v>0</v>
      </c>
      <c r="I283" s="15" t="s">
        <v>441</v>
      </c>
      <c r="J283" s="1"/>
      <c r="K283" s="1"/>
      <c r="L283" s="1"/>
      <c r="M283" s="1"/>
      <c r="N283" s="1"/>
    </row>
    <row r="284" spans="1:14" hidden="1" x14ac:dyDescent="0.25">
      <c r="A284" s="1"/>
      <c r="B284" s="16" t="s">
        <v>441</v>
      </c>
      <c r="C284" s="15" t="s">
        <v>581</v>
      </c>
      <c r="D284" s="15" t="s">
        <v>582</v>
      </c>
      <c r="E284" s="16" t="s">
        <v>26</v>
      </c>
      <c r="F284" s="17"/>
      <c r="G284" cm="1">
        <f t="array" ref="G284">IFERROR(_xlfn.XLOOKUP(Pedido891011121412131617181921192223[[#This Row],[Id de Producto]],[1]!Precios[[#All],[Id de Producto]],[1]!Precios[[#All],[Coste estándar]])*Pedido891011121412131617181921192223[[#This Row],[Pedido]],0)</f>
        <v>0</v>
      </c>
      <c r="H284" s="18">
        <v>0</v>
      </c>
      <c r="I284" s="15" t="s">
        <v>441</v>
      </c>
      <c r="J284" s="1"/>
      <c r="K284" s="1"/>
      <c r="L284" s="1"/>
      <c r="M284" s="1"/>
      <c r="N284" s="1"/>
    </row>
    <row r="285" spans="1:14" hidden="1" x14ac:dyDescent="0.25">
      <c r="A285" s="1"/>
      <c r="B285" s="16" t="s">
        <v>441</v>
      </c>
      <c r="C285" s="15" t="s">
        <v>583</v>
      </c>
      <c r="D285" s="15" t="s">
        <v>584</v>
      </c>
      <c r="E285" s="16" t="s">
        <v>26</v>
      </c>
      <c r="F285" s="17"/>
      <c r="G285" cm="1">
        <f t="array" ref="G285">IFERROR(_xlfn.XLOOKUP(Pedido891011121412131617181921192223[[#This Row],[Id de Producto]],[1]!Precios[[#All],[Id de Producto]],[1]!Precios[[#All],[Coste estándar]])*Pedido891011121412131617181921192223[[#This Row],[Pedido]],0)</f>
        <v>0</v>
      </c>
      <c r="H285" s="18">
        <v>0</v>
      </c>
      <c r="I285" s="15" t="s">
        <v>441</v>
      </c>
      <c r="J285" s="1"/>
      <c r="K285" s="1"/>
      <c r="L285" s="1"/>
      <c r="M285" s="1"/>
      <c r="N285" s="1"/>
    </row>
    <row r="286" spans="1:14" hidden="1" x14ac:dyDescent="0.25">
      <c r="A286" s="1"/>
      <c r="B286" s="15" t="s">
        <v>441</v>
      </c>
      <c r="C286" s="15" t="s">
        <v>585</v>
      </c>
      <c r="D286" s="15" t="s">
        <v>586</v>
      </c>
      <c r="E286" s="16" t="s">
        <v>18</v>
      </c>
      <c r="F286" s="17"/>
      <c r="G286" cm="1">
        <f t="array" ref="G286">IFERROR(_xlfn.XLOOKUP(Pedido891011121412131617181921192223[[#This Row],[Id de Producto]],[1]!Precios[[#All],[Id de Producto]],[1]!Precios[[#All],[Coste estándar]])*Pedido891011121412131617181921192223[[#This Row],[Pedido]],0)</f>
        <v>0</v>
      </c>
      <c r="H286" s="15">
        <v>1</v>
      </c>
      <c r="I286" s="15" t="s">
        <v>441</v>
      </c>
      <c r="J286" s="1"/>
      <c r="K286" s="1"/>
      <c r="L286" s="1"/>
      <c r="M286" s="1"/>
      <c r="N286" s="1"/>
    </row>
    <row r="287" spans="1:14" hidden="1" x14ac:dyDescent="0.25">
      <c r="A287" s="1"/>
      <c r="B287" s="16" t="s">
        <v>441</v>
      </c>
      <c r="C287" s="15" t="s">
        <v>587</v>
      </c>
      <c r="D287" s="15" t="s">
        <v>588</v>
      </c>
      <c r="E287" s="16" t="s">
        <v>26</v>
      </c>
      <c r="F287" s="17"/>
      <c r="G287" cm="1">
        <f t="array" ref="G287">IFERROR(_xlfn.XLOOKUP(Pedido891011121412131617181921192223[[#This Row],[Id de Producto]],[1]!Precios[[#All],[Id de Producto]],[1]!Precios[[#All],[Coste estándar]])*Pedido891011121412131617181921192223[[#This Row],[Pedido]],0)</f>
        <v>0</v>
      </c>
      <c r="H287" s="18">
        <v>0</v>
      </c>
      <c r="I287" s="15" t="s">
        <v>441</v>
      </c>
      <c r="J287" s="1"/>
      <c r="K287" s="1"/>
      <c r="L287" s="1"/>
      <c r="M287" s="1"/>
      <c r="N287" s="1"/>
    </row>
    <row r="288" spans="1:14" hidden="1" x14ac:dyDescent="0.25">
      <c r="A288" s="1"/>
      <c r="B288" s="16" t="s">
        <v>441</v>
      </c>
      <c r="C288" s="15" t="s">
        <v>589</v>
      </c>
      <c r="D288" s="15" t="s">
        <v>590</v>
      </c>
      <c r="E288" s="16" t="s">
        <v>26</v>
      </c>
      <c r="F288" s="17"/>
      <c r="G288" cm="1">
        <f t="array" ref="G288">IFERROR(_xlfn.XLOOKUP(Pedido891011121412131617181921192223[[#This Row],[Id de Producto]],[1]!Precios[[#All],[Id de Producto]],[1]!Precios[[#All],[Coste estándar]])*Pedido891011121412131617181921192223[[#This Row],[Pedido]],0)</f>
        <v>0</v>
      </c>
      <c r="H288" s="18">
        <v>0</v>
      </c>
      <c r="I288" s="15" t="s">
        <v>441</v>
      </c>
      <c r="J288" s="1"/>
      <c r="K288" s="1"/>
      <c r="L288" s="1"/>
      <c r="M288" s="1"/>
      <c r="N288" s="1"/>
    </row>
    <row r="289" spans="1:14" hidden="1" x14ac:dyDescent="0.25">
      <c r="A289" s="1"/>
      <c r="B289" s="16" t="s">
        <v>441</v>
      </c>
      <c r="C289" s="15" t="s">
        <v>591</v>
      </c>
      <c r="D289" s="15" t="s">
        <v>592</v>
      </c>
      <c r="E289" s="16" t="s">
        <v>26</v>
      </c>
      <c r="F289" s="17"/>
      <c r="G289" cm="1">
        <f t="array" ref="G289">IFERROR(_xlfn.XLOOKUP(Pedido891011121412131617181921192223[[#This Row],[Id de Producto]],[1]!Precios[[#All],[Id de Producto]],[1]!Precios[[#All],[Coste estándar]])*Pedido891011121412131617181921192223[[#This Row],[Pedido]],0)</f>
        <v>0</v>
      </c>
      <c r="H289" s="18">
        <v>0</v>
      </c>
      <c r="I289" s="15" t="s">
        <v>441</v>
      </c>
      <c r="J289" s="1"/>
      <c r="K289" s="1"/>
      <c r="L289" s="1"/>
      <c r="M289" s="1"/>
      <c r="N289" s="1"/>
    </row>
    <row r="290" spans="1:14" hidden="1" x14ac:dyDescent="0.25">
      <c r="A290" s="1"/>
      <c r="B290" s="16" t="s">
        <v>441</v>
      </c>
      <c r="C290" s="15" t="s">
        <v>593</v>
      </c>
      <c r="D290" s="15" t="s">
        <v>594</v>
      </c>
      <c r="E290" s="16" t="s">
        <v>26</v>
      </c>
      <c r="F290" s="17"/>
      <c r="G290" cm="1">
        <f t="array" ref="G290">IFERROR(_xlfn.XLOOKUP(Pedido891011121412131617181921192223[[#This Row],[Id de Producto]],[1]!Precios[[#All],[Id de Producto]],[1]!Precios[[#All],[Coste estándar]])*Pedido891011121412131617181921192223[[#This Row],[Pedido]],0)</f>
        <v>0</v>
      </c>
      <c r="H290" s="18">
        <v>0</v>
      </c>
      <c r="I290" s="15" t="s">
        <v>441</v>
      </c>
      <c r="J290" s="1"/>
      <c r="K290" s="1"/>
      <c r="L290" s="1"/>
      <c r="M290" s="1"/>
      <c r="N290" s="1"/>
    </row>
    <row r="291" spans="1:14" hidden="1" x14ac:dyDescent="0.25">
      <c r="A291" s="1"/>
      <c r="B291" s="16" t="s">
        <v>441</v>
      </c>
      <c r="C291" s="15" t="s">
        <v>595</v>
      </c>
      <c r="D291" s="15" t="s">
        <v>596</v>
      </c>
      <c r="E291" s="16" t="s">
        <v>26</v>
      </c>
      <c r="F291" s="17"/>
      <c r="G291" cm="1">
        <f t="array" ref="G291">IFERROR(_xlfn.XLOOKUP(Pedido891011121412131617181921192223[[#This Row],[Id de Producto]],[1]!Precios[[#All],[Id de Producto]],[1]!Precios[[#All],[Coste estándar]])*Pedido891011121412131617181921192223[[#This Row],[Pedido]],0)</f>
        <v>0</v>
      </c>
      <c r="H291" s="18">
        <v>0</v>
      </c>
      <c r="I291" s="15" t="s">
        <v>441</v>
      </c>
      <c r="J291" s="1"/>
      <c r="K291" s="1"/>
      <c r="L291" s="1"/>
      <c r="M291" s="1"/>
      <c r="N291" s="1"/>
    </row>
    <row r="292" spans="1:14" hidden="1" x14ac:dyDescent="0.25">
      <c r="A292" s="1"/>
      <c r="B292" s="15" t="s">
        <v>255</v>
      </c>
      <c r="C292" s="15" t="s">
        <v>597</v>
      </c>
      <c r="D292" s="15" t="s">
        <v>598</v>
      </c>
      <c r="E292" s="15" t="s">
        <v>120</v>
      </c>
      <c r="F292" s="17"/>
      <c r="G292" cm="1">
        <f t="array" ref="G292">IFERROR(_xlfn.XLOOKUP(Pedido891011121412131617181921192223[[#This Row],[Id de Producto]],[1]!Precios[[#All],[Id de Producto]],[1]!Precios[[#All],[Coste estándar]])*Pedido891011121412131617181921192223[[#This Row],[Pedido]],0)</f>
        <v>0</v>
      </c>
      <c r="H292" s="18">
        <v>0</v>
      </c>
      <c r="I292" s="16" t="s">
        <v>255</v>
      </c>
      <c r="J292" s="1"/>
      <c r="K292" s="1"/>
      <c r="L292" s="1"/>
      <c r="M292" s="1"/>
      <c r="N292" s="1"/>
    </row>
    <row r="293" spans="1:14" hidden="1" x14ac:dyDescent="0.25">
      <c r="A293" s="1"/>
      <c r="B293" s="16" t="s">
        <v>255</v>
      </c>
      <c r="C293" s="15" t="s">
        <v>599</v>
      </c>
      <c r="D293" s="15" t="s">
        <v>600</v>
      </c>
      <c r="E293" s="16" t="s">
        <v>22</v>
      </c>
      <c r="F293" s="17"/>
      <c r="G293" cm="1">
        <f t="array" ref="G293">IFERROR(_xlfn.XLOOKUP(Pedido891011121412131617181921192223[[#This Row],[Id de Producto]],[1]!Precios[[#All],[Id de Producto]],[1]!Precios[[#All],[Coste estándar]])*Pedido891011121412131617181921192223[[#This Row],[Pedido]],0)</f>
        <v>0</v>
      </c>
      <c r="H293" s="18">
        <v>0</v>
      </c>
      <c r="I293" s="16" t="s">
        <v>255</v>
      </c>
      <c r="J293" s="1"/>
      <c r="K293" s="1"/>
      <c r="L293" s="1"/>
      <c r="M293" s="1"/>
      <c r="N293" s="1"/>
    </row>
    <row r="294" spans="1:14" hidden="1" x14ac:dyDescent="0.25">
      <c r="A294" s="1"/>
      <c r="B294" s="16" t="s">
        <v>255</v>
      </c>
      <c r="C294" s="15" t="s">
        <v>601</v>
      </c>
      <c r="D294" s="15" t="s">
        <v>602</v>
      </c>
      <c r="E294" s="16" t="s">
        <v>26</v>
      </c>
      <c r="F294" s="17"/>
      <c r="G294" cm="1">
        <f t="array" ref="G294">IFERROR(_xlfn.XLOOKUP(Pedido891011121412131617181921192223[[#This Row],[Id de Producto]],[1]!Precios[[#All],[Id de Producto]],[1]!Precios[[#All],[Coste estándar]])*Pedido891011121412131617181921192223[[#This Row],[Pedido]],0)</f>
        <v>0</v>
      </c>
      <c r="H294" s="18">
        <v>0</v>
      </c>
      <c r="I294" s="16" t="s">
        <v>255</v>
      </c>
      <c r="J294" s="1"/>
      <c r="K294" s="1"/>
      <c r="L294" s="1"/>
      <c r="M294" s="1"/>
      <c r="N294" s="1"/>
    </row>
    <row r="295" spans="1:14" hidden="1" x14ac:dyDescent="0.25">
      <c r="A295" s="1"/>
      <c r="B295" s="15" t="s">
        <v>441</v>
      </c>
      <c r="C295" s="15" t="s">
        <v>603</v>
      </c>
      <c r="D295" s="15" t="s">
        <v>604</v>
      </c>
      <c r="E295" s="16" t="s">
        <v>26</v>
      </c>
      <c r="F295" s="17"/>
      <c r="G295" cm="1">
        <f t="array" ref="G295">IFERROR(_xlfn.XLOOKUP(Pedido891011121412131617181921192223[[#This Row],[Id de Producto]],[1]!Precios[[#All],[Id de Producto]],[1]!Precios[[#All],[Coste estándar]])*Pedido891011121412131617181921192223[[#This Row],[Pedido]],0)</f>
        <v>0</v>
      </c>
      <c r="H295" s="15">
        <v>0</v>
      </c>
      <c r="I295" s="15" t="s">
        <v>441</v>
      </c>
      <c r="J295" s="1"/>
      <c r="K295" s="1"/>
      <c r="L295" s="1"/>
      <c r="M295" s="1"/>
      <c r="N295" s="1"/>
    </row>
    <row r="296" spans="1:14" hidden="1" x14ac:dyDescent="0.25">
      <c r="A296" s="1"/>
      <c r="B296" s="16" t="s">
        <v>441</v>
      </c>
      <c r="C296" s="15" t="s">
        <v>605</v>
      </c>
      <c r="D296" s="15" t="s">
        <v>606</v>
      </c>
      <c r="E296" s="16" t="s">
        <v>26</v>
      </c>
      <c r="F296" s="17"/>
      <c r="G296" cm="1">
        <f t="array" ref="G296">IFERROR(_xlfn.XLOOKUP(Pedido891011121412131617181921192223[[#This Row],[Id de Producto]],[1]!Precios[[#All],[Id de Producto]],[1]!Precios[[#All],[Coste estándar]])*Pedido891011121412131617181921192223[[#This Row],[Pedido]],0)</f>
        <v>0</v>
      </c>
      <c r="H296" s="18">
        <v>0</v>
      </c>
      <c r="I296" s="15" t="s">
        <v>441</v>
      </c>
      <c r="J296" s="1"/>
      <c r="K296" s="1"/>
      <c r="L296" s="1"/>
      <c r="M296" s="1"/>
      <c r="N296" s="1"/>
    </row>
    <row r="297" spans="1:14" hidden="1" x14ac:dyDescent="0.25">
      <c r="A297" s="1"/>
      <c r="B297" s="16" t="s">
        <v>458</v>
      </c>
      <c r="C297" s="15" t="s">
        <v>607</v>
      </c>
      <c r="D297" s="15" t="s">
        <v>608</v>
      </c>
      <c r="E297" s="16" t="s">
        <v>26</v>
      </c>
      <c r="F297" s="17"/>
      <c r="G297" cm="1">
        <f t="array" ref="G297">IFERROR(_xlfn.XLOOKUP(Pedido891011121412131617181921192223[[#This Row],[Id de Producto]],[1]!Precios[[#All],[Id de Producto]],[1]!Precios[[#All],[Coste estándar]])*Pedido891011121412131617181921192223[[#This Row],[Pedido]],0)</f>
        <v>0</v>
      </c>
      <c r="H297" s="18">
        <v>0</v>
      </c>
      <c r="I297" s="16" t="s">
        <v>458</v>
      </c>
      <c r="J297" s="1"/>
      <c r="K297" s="1"/>
      <c r="L297" s="1"/>
      <c r="M297" s="1"/>
      <c r="N297" s="1"/>
    </row>
    <row r="298" spans="1:14" hidden="1" x14ac:dyDescent="0.25">
      <c r="A298" s="1"/>
      <c r="B298" s="16" t="s">
        <v>458</v>
      </c>
      <c r="C298" s="15" t="s">
        <v>609</v>
      </c>
      <c r="D298" s="15" t="s">
        <v>610</v>
      </c>
      <c r="E298" s="16" t="s">
        <v>26</v>
      </c>
      <c r="F298" s="17"/>
      <c r="G298" cm="1">
        <f t="array" ref="G298">IFERROR(_xlfn.XLOOKUP(Pedido891011121412131617181921192223[[#This Row],[Id de Producto]],[1]!Precios[[#All],[Id de Producto]],[1]!Precios[[#All],[Coste estándar]])*Pedido891011121412131617181921192223[[#This Row],[Pedido]],0)</f>
        <v>0</v>
      </c>
      <c r="H298" s="18">
        <v>0</v>
      </c>
      <c r="I298" s="16" t="s">
        <v>458</v>
      </c>
      <c r="J298" s="1"/>
      <c r="K298" s="1"/>
      <c r="L298" s="1"/>
      <c r="M298" s="1"/>
      <c r="N298" s="1"/>
    </row>
    <row r="299" spans="1:14" hidden="1" x14ac:dyDescent="0.25">
      <c r="A299" s="1"/>
      <c r="B299" s="16" t="s">
        <v>458</v>
      </c>
      <c r="C299" s="15" t="s">
        <v>611</v>
      </c>
      <c r="D299" s="15" t="s">
        <v>612</v>
      </c>
      <c r="E299" s="16" t="s">
        <v>22</v>
      </c>
      <c r="F299" s="17"/>
      <c r="G299" cm="1">
        <f t="array" ref="G299">IFERROR(_xlfn.XLOOKUP(Pedido891011121412131617181921192223[[#This Row],[Id de Producto]],[1]!Precios[[#All],[Id de Producto]],[1]!Precios[[#All],[Coste estándar]])*Pedido891011121412131617181921192223[[#This Row],[Pedido]],0)</f>
        <v>0</v>
      </c>
      <c r="H299" s="18">
        <v>0</v>
      </c>
      <c r="I299" s="16" t="s">
        <v>458</v>
      </c>
      <c r="J299" s="1"/>
      <c r="K299" s="1"/>
      <c r="L299" s="1"/>
      <c r="M299" s="1"/>
      <c r="N299" s="1"/>
    </row>
    <row r="300" spans="1:14" hidden="1" x14ac:dyDescent="0.25">
      <c r="A300" s="1"/>
      <c r="B300" s="16" t="s">
        <v>458</v>
      </c>
      <c r="C300" s="15" t="s">
        <v>613</v>
      </c>
      <c r="D300" s="15" t="s">
        <v>614</v>
      </c>
      <c r="E300" s="16" t="s">
        <v>26</v>
      </c>
      <c r="F300" s="17"/>
      <c r="G300" cm="1">
        <f t="array" ref="G300">IFERROR(_xlfn.XLOOKUP(Pedido891011121412131617181921192223[[#This Row],[Id de Producto]],[1]!Precios[[#All],[Id de Producto]],[1]!Precios[[#All],[Coste estándar]])*Pedido891011121412131617181921192223[[#This Row],[Pedido]],0)</f>
        <v>0</v>
      </c>
      <c r="H300" s="18">
        <v>0</v>
      </c>
      <c r="I300" s="16" t="s">
        <v>458</v>
      </c>
      <c r="J300" s="1"/>
      <c r="K300" s="1"/>
      <c r="L300" s="1"/>
      <c r="M300" s="1"/>
      <c r="N300" s="1"/>
    </row>
    <row r="301" spans="1:14" hidden="1" x14ac:dyDescent="0.25">
      <c r="A301" s="1"/>
      <c r="B301" s="16" t="s">
        <v>458</v>
      </c>
      <c r="C301" s="15" t="s">
        <v>615</v>
      </c>
      <c r="D301" s="15" t="s">
        <v>616</v>
      </c>
      <c r="E301" s="16" t="s">
        <v>22</v>
      </c>
      <c r="F301" s="17"/>
      <c r="G301" cm="1">
        <f t="array" ref="G301">IFERROR(_xlfn.XLOOKUP(Pedido891011121412131617181921192223[[#This Row],[Id de Producto]],[1]!Precios[[#All],[Id de Producto]],[1]!Precios[[#All],[Coste estándar]])*Pedido891011121412131617181921192223[[#This Row],[Pedido]],0)</f>
        <v>0</v>
      </c>
      <c r="H301" s="18">
        <v>0</v>
      </c>
      <c r="I301" s="16" t="s">
        <v>458</v>
      </c>
      <c r="J301" s="1"/>
      <c r="K301" s="1"/>
      <c r="L301" s="1"/>
      <c r="M301" s="1"/>
      <c r="N301" s="1"/>
    </row>
    <row r="302" spans="1:14" hidden="1" x14ac:dyDescent="0.25">
      <c r="A302" s="1"/>
      <c r="B302" s="16" t="s">
        <v>458</v>
      </c>
      <c r="C302" s="15" t="s">
        <v>617</v>
      </c>
      <c r="D302" s="15" t="s">
        <v>618</v>
      </c>
      <c r="E302" s="16" t="s">
        <v>22</v>
      </c>
      <c r="F302" s="17"/>
      <c r="G302" cm="1">
        <f t="array" ref="G302">IFERROR(_xlfn.XLOOKUP(Pedido891011121412131617181921192223[[#This Row],[Id de Producto]],[1]!Precios[[#All],[Id de Producto]],[1]!Precios[[#All],[Coste estándar]])*Pedido891011121412131617181921192223[[#This Row],[Pedido]],0)</f>
        <v>0</v>
      </c>
      <c r="H302" s="18">
        <v>0</v>
      </c>
      <c r="I302" s="16" t="s">
        <v>458</v>
      </c>
      <c r="J302" s="1"/>
      <c r="K302" s="1"/>
      <c r="L302" s="1"/>
      <c r="M302" s="1"/>
      <c r="N302" s="1"/>
    </row>
    <row r="303" spans="1:14" hidden="1" x14ac:dyDescent="0.25">
      <c r="A303" s="1"/>
      <c r="B303" s="15" t="s">
        <v>458</v>
      </c>
      <c r="C303" s="15" t="s">
        <v>619</v>
      </c>
      <c r="D303" s="15" t="s">
        <v>620</v>
      </c>
      <c r="E303" s="16" t="s">
        <v>22</v>
      </c>
      <c r="F303" s="17"/>
      <c r="G303" cm="1">
        <f t="array" ref="G303">IFERROR(_xlfn.XLOOKUP(Pedido891011121412131617181921192223[[#This Row],[Id de Producto]],[1]!Precios[[#All],[Id de Producto]],[1]!Precios[[#All],[Coste estándar]])*Pedido891011121412131617181921192223[[#This Row],[Pedido]],0)</f>
        <v>0</v>
      </c>
      <c r="H303" s="18">
        <v>0</v>
      </c>
      <c r="I303" s="16" t="s">
        <v>458</v>
      </c>
      <c r="J303" s="1"/>
      <c r="K303" s="1"/>
      <c r="L303" s="1"/>
      <c r="M303" s="1"/>
      <c r="N303" s="1"/>
    </row>
    <row r="304" spans="1:14" hidden="1" x14ac:dyDescent="0.25">
      <c r="A304" s="1"/>
      <c r="B304" s="16" t="s">
        <v>441</v>
      </c>
      <c r="C304" s="15" t="s">
        <v>621</v>
      </c>
      <c r="D304" s="15" t="s">
        <v>622</v>
      </c>
      <c r="E304" s="16" t="s">
        <v>26</v>
      </c>
      <c r="F304" s="17"/>
      <c r="G304" cm="1">
        <f t="array" ref="G304">IFERROR(_xlfn.XLOOKUP(Pedido891011121412131617181921192223[[#This Row],[Id de Producto]],[1]!Precios[[#All],[Id de Producto]],[1]!Precios[[#All],[Coste estándar]])*Pedido891011121412131617181921192223[[#This Row],[Pedido]],0)</f>
        <v>0</v>
      </c>
      <c r="H304" s="18">
        <v>0</v>
      </c>
      <c r="I304" s="15" t="s">
        <v>441</v>
      </c>
      <c r="J304" s="1"/>
      <c r="K304" s="1"/>
      <c r="L304" s="1"/>
      <c r="M304" s="1"/>
      <c r="N304" s="1"/>
    </row>
    <row r="305" spans="1:14" hidden="1" x14ac:dyDescent="0.25">
      <c r="A305" s="1"/>
      <c r="B305" s="16" t="s">
        <v>441</v>
      </c>
      <c r="C305" s="15" t="s">
        <v>623</v>
      </c>
      <c r="D305" s="15" t="s">
        <v>624</v>
      </c>
      <c r="E305" s="16" t="s">
        <v>26</v>
      </c>
      <c r="F305" s="17"/>
      <c r="G305" cm="1">
        <f t="array" ref="G305">IFERROR(_xlfn.XLOOKUP(Pedido891011121412131617181921192223[[#This Row],[Id de Producto]],[1]!Precios[[#All],[Id de Producto]],[1]!Precios[[#All],[Coste estándar]])*Pedido891011121412131617181921192223[[#This Row],[Pedido]],0)</f>
        <v>0</v>
      </c>
      <c r="H305" s="18">
        <v>0</v>
      </c>
      <c r="I305" s="15" t="s">
        <v>441</v>
      </c>
      <c r="J305" s="1"/>
      <c r="K305" s="1"/>
      <c r="L305" s="1"/>
      <c r="M305" s="1"/>
      <c r="N305" s="1"/>
    </row>
    <row r="306" spans="1:14" hidden="1" x14ac:dyDescent="0.25">
      <c r="A306" s="1"/>
      <c r="B306" s="16" t="s">
        <v>458</v>
      </c>
      <c r="C306" s="15" t="s">
        <v>625</v>
      </c>
      <c r="D306" s="15" t="s">
        <v>626</v>
      </c>
      <c r="E306" s="16" t="s">
        <v>26</v>
      </c>
      <c r="F306" s="17"/>
      <c r="G306" cm="1">
        <f t="array" ref="G306">IFERROR(_xlfn.XLOOKUP(Pedido891011121412131617181921192223[[#This Row],[Id de Producto]],[1]!Precios[[#All],[Id de Producto]],[1]!Precios[[#All],[Coste estándar]])*Pedido891011121412131617181921192223[[#This Row],[Pedido]],0)</f>
        <v>0</v>
      </c>
      <c r="H306" s="18">
        <v>0</v>
      </c>
      <c r="I306" s="16" t="s">
        <v>458</v>
      </c>
      <c r="J306" s="1"/>
      <c r="K306" s="1"/>
      <c r="L306" s="1"/>
      <c r="M306" s="1"/>
      <c r="N306" s="1"/>
    </row>
    <row r="307" spans="1:14" hidden="1" x14ac:dyDescent="0.25">
      <c r="A307" s="1"/>
      <c r="B307" s="16" t="s">
        <v>441</v>
      </c>
      <c r="C307" s="15" t="s">
        <v>627</v>
      </c>
      <c r="D307" s="15" t="s">
        <v>628</v>
      </c>
      <c r="E307" s="16" t="s">
        <v>26</v>
      </c>
      <c r="F307" s="17"/>
      <c r="G307" cm="1">
        <f t="array" ref="G307">IFERROR(_xlfn.XLOOKUP(Pedido891011121412131617181921192223[[#This Row],[Id de Producto]],[1]!Precios[[#All],[Id de Producto]],[1]!Precios[[#All],[Coste estándar]])*Pedido891011121412131617181921192223[[#This Row],[Pedido]],0)</f>
        <v>0</v>
      </c>
      <c r="H307" s="18">
        <v>0</v>
      </c>
      <c r="I307" s="15" t="s">
        <v>441</v>
      </c>
      <c r="J307" s="1"/>
      <c r="K307" s="1"/>
      <c r="L307" s="1"/>
      <c r="M307" s="1"/>
      <c r="N307" s="1"/>
    </row>
    <row r="308" spans="1:14" hidden="1" x14ac:dyDescent="0.25">
      <c r="A308" s="1"/>
      <c r="B308" s="16" t="s">
        <v>458</v>
      </c>
      <c r="C308" s="15" t="s">
        <v>629</v>
      </c>
      <c r="D308" s="15" t="s">
        <v>630</v>
      </c>
      <c r="E308" s="16" t="s">
        <v>26</v>
      </c>
      <c r="F308" s="17"/>
      <c r="G308" cm="1">
        <f t="array" ref="G308">IFERROR(_xlfn.XLOOKUP(Pedido891011121412131617181921192223[[#This Row],[Id de Producto]],[1]!Precios[[#All],[Id de Producto]],[1]!Precios[[#All],[Coste estándar]])*Pedido891011121412131617181921192223[[#This Row],[Pedido]],0)</f>
        <v>0</v>
      </c>
      <c r="H308" s="18">
        <v>0</v>
      </c>
      <c r="I308" s="16" t="s">
        <v>458</v>
      </c>
      <c r="J308" s="1"/>
      <c r="K308" s="1"/>
      <c r="L308" s="1"/>
      <c r="M308" s="1"/>
      <c r="N308" s="1"/>
    </row>
    <row r="309" spans="1:14" hidden="1" x14ac:dyDescent="0.25">
      <c r="A309" s="1"/>
      <c r="B309" s="16" t="s">
        <v>458</v>
      </c>
      <c r="C309" s="15" t="s">
        <v>631</v>
      </c>
      <c r="D309" s="15" t="s">
        <v>632</v>
      </c>
      <c r="E309" s="16" t="s">
        <v>26</v>
      </c>
      <c r="F309" s="17"/>
      <c r="G309" cm="1">
        <f t="array" ref="G309">IFERROR(_xlfn.XLOOKUP(Pedido891011121412131617181921192223[[#This Row],[Id de Producto]],[1]!Precios[[#All],[Id de Producto]],[1]!Precios[[#All],[Coste estándar]])*Pedido891011121412131617181921192223[[#This Row],[Pedido]],0)</f>
        <v>0</v>
      </c>
      <c r="H309" s="18">
        <v>0</v>
      </c>
      <c r="I309" s="16" t="s">
        <v>458</v>
      </c>
      <c r="J309" s="1"/>
      <c r="K309" s="1"/>
      <c r="L309" s="1"/>
      <c r="M309" s="1"/>
      <c r="N309" s="1"/>
    </row>
    <row r="310" spans="1:14" hidden="1" x14ac:dyDescent="0.25">
      <c r="A310" s="1"/>
      <c r="B310" s="16" t="s">
        <v>458</v>
      </c>
      <c r="C310" s="15" t="s">
        <v>633</v>
      </c>
      <c r="D310" s="15" t="s">
        <v>634</v>
      </c>
      <c r="E310" s="16" t="s">
        <v>22</v>
      </c>
      <c r="F310" s="17"/>
      <c r="G310" cm="1">
        <f t="array" ref="G310">IFERROR(_xlfn.XLOOKUP(Pedido891011121412131617181921192223[[#This Row],[Id de Producto]],[1]!Precios[[#All],[Id de Producto]],[1]!Precios[[#All],[Coste estándar]])*Pedido891011121412131617181921192223[[#This Row],[Pedido]],0)</f>
        <v>0</v>
      </c>
      <c r="H310" s="18">
        <v>0</v>
      </c>
      <c r="I310" s="16" t="s">
        <v>458</v>
      </c>
      <c r="J310" s="1"/>
      <c r="K310" s="1"/>
      <c r="L310" s="1"/>
      <c r="M310" s="1"/>
      <c r="N310" s="1"/>
    </row>
    <row r="311" spans="1:14" hidden="1" x14ac:dyDescent="0.25">
      <c r="A311" s="1"/>
      <c r="B311" s="16" t="s">
        <v>458</v>
      </c>
      <c r="C311" s="15" t="s">
        <v>635</v>
      </c>
      <c r="D311" s="15" t="s">
        <v>636</v>
      </c>
      <c r="E311" s="16" t="s">
        <v>26</v>
      </c>
      <c r="F311" s="17"/>
      <c r="G311" cm="1">
        <f t="array" ref="G311">IFERROR(_xlfn.XLOOKUP(Pedido891011121412131617181921192223[[#This Row],[Id de Producto]],[1]!Precios[[#All],[Id de Producto]],[1]!Precios[[#All],[Coste estándar]])*Pedido891011121412131617181921192223[[#This Row],[Pedido]],0)</f>
        <v>0</v>
      </c>
      <c r="H311" s="18">
        <v>0</v>
      </c>
      <c r="I311" s="16" t="s">
        <v>458</v>
      </c>
      <c r="J311" s="1"/>
      <c r="K311" s="1"/>
      <c r="L311" s="1"/>
      <c r="M311" s="1"/>
      <c r="N311" s="1"/>
    </row>
    <row r="312" spans="1:14" hidden="1" x14ac:dyDescent="0.25">
      <c r="A312" s="1"/>
      <c r="B312" s="16" t="s">
        <v>458</v>
      </c>
      <c r="C312" s="15" t="s">
        <v>637</v>
      </c>
      <c r="D312" s="15" t="s">
        <v>638</v>
      </c>
      <c r="E312" s="16" t="s">
        <v>26</v>
      </c>
      <c r="F312" s="17"/>
      <c r="G312" cm="1">
        <f t="array" ref="G312">IFERROR(_xlfn.XLOOKUP(Pedido891011121412131617181921192223[[#This Row],[Id de Producto]],[1]!Precios[[#All],[Id de Producto]],[1]!Precios[[#All],[Coste estándar]])*Pedido891011121412131617181921192223[[#This Row],[Pedido]],0)</f>
        <v>0</v>
      </c>
      <c r="H312" s="18">
        <v>0</v>
      </c>
      <c r="I312" s="16" t="s">
        <v>458</v>
      </c>
      <c r="J312" s="1"/>
      <c r="K312" s="1"/>
      <c r="L312" s="1"/>
      <c r="M312" s="1"/>
      <c r="N312" s="1"/>
    </row>
    <row r="313" spans="1:14" hidden="1" x14ac:dyDescent="0.25">
      <c r="A313" s="1"/>
      <c r="B313" s="16" t="s">
        <v>458</v>
      </c>
      <c r="C313" s="15" t="s">
        <v>639</v>
      </c>
      <c r="D313" s="15" t="s">
        <v>640</v>
      </c>
      <c r="E313" s="16" t="s">
        <v>26</v>
      </c>
      <c r="F313" s="17"/>
      <c r="G313" cm="1">
        <f t="array" ref="G313">IFERROR(_xlfn.XLOOKUP(Pedido891011121412131617181921192223[[#This Row],[Id de Producto]],[1]!Precios[[#All],[Id de Producto]],[1]!Precios[[#All],[Coste estándar]])*Pedido891011121412131617181921192223[[#This Row],[Pedido]],0)</f>
        <v>0</v>
      </c>
      <c r="H313" s="18">
        <v>0</v>
      </c>
      <c r="I313" s="16" t="s">
        <v>458</v>
      </c>
      <c r="J313" s="1"/>
      <c r="K313" s="1"/>
      <c r="L313" s="1"/>
      <c r="M313" s="1"/>
      <c r="N313" s="1"/>
    </row>
    <row r="314" spans="1:14" hidden="1" x14ac:dyDescent="0.25">
      <c r="A314" s="1"/>
      <c r="B314" s="15" t="s">
        <v>458</v>
      </c>
      <c r="C314" s="15" t="s">
        <v>641</v>
      </c>
      <c r="D314" s="15" t="s">
        <v>642</v>
      </c>
      <c r="E314" s="16" t="s">
        <v>26</v>
      </c>
      <c r="F314" s="17"/>
      <c r="G314" cm="1">
        <f t="array" ref="G314">IFERROR(_xlfn.XLOOKUP(Pedido891011121412131617181921192223[[#This Row],[Id de Producto]],[1]!Precios[[#All],[Id de Producto]],[1]!Precios[[#All],[Coste estándar]])*Pedido891011121412131617181921192223[[#This Row],[Pedido]],0)</f>
        <v>0</v>
      </c>
      <c r="H314" s="18">
        <v>0</v>
      </c>
      <c r="I314" s="16" t="s">
        <v>458</v>
      </c>
      <c r="J314" s="1"/>
      <c r="K314" s="1"/>
      <c r="L314" s="1"/>
      <c r="M314" s="1"/>
      <c r="N314" s="1"/>
    </row>
    <row r="315" spans="1:14" hidden="1" x14ac:dyDescent="0.25">
      <c r="A315" s="1"/>
      <c r="B315" s="16" t="s">
        <v>458</v>
      </c>
      <c r="C315" s="15" t="s">
        <v>643</v>
      </c>
      <c r="D315" s="15" t="s">
        <v>644</v>
      </c>
      <c r="E315" s="16" t="s">
        <v>26</v>
      </c>
      <c r="F315" s="17"/>
      <c r="G315" cm="1">
        <f t="array" ref="G315">IFERROR(_xlfn.XLOOKUP(Pedido891011121412131617181921192223[[#This Row],[Id de Producto]],[1]!Precios[[#All],[Id de Producto]],[1]!Precios[[#All],[Coste estándar]])*Pedido891011121412131617181921192223[[#This Row],[Pedido]],0)</f>
        <v>0</v>
      </c>
      <c r="H315" s="18">
        <v>0</v>
      </c>
      <c r="I315" s="16" t="s">
        <v>458</v>
      </c>
      <c r="J315" s="1"/>
      <c r="K315" s="1"/>
      <c r="L315" s="1"/>
      <c r="M315" s="1"/>
      <c r="N315" s="1"/>
    </row>
    <row r="316" spans="1:14" hidden="1" x14ac:dyDescent="0.25">
      <c r="A316" s="1"/>
      <c r="B316" s="16" t="s">
        <v>458</v>
      </c>
      <c r="C316" s="15" t="s">
        <v>645</v>
      </c>
      <c r="D316" s="15" t="s">
        <v>646</v>
      </c>
      <c r="E316" s="16" t="s">
        <v>26</v>
      </c>
      <c r="F316" s="17"/>
      <c r="G316" cm="1">
        <f t="array" ref="G316">IFERROR(_xlfn.XLOOKUP(Pedido891011121412131617181921192223[[#This Row],[Id de Producto]],[1]!Precios[[#All],[Id de Producto]],[1]!Precios[[#All],[Coste estándar]])*Pedido891011121412131617181921192223[[#This Row],[Pedido]],0)</f>
        <v>0</v>
      </c>
      <c r="H316" s="18">
        <v>0</v>
      </c>
      <c r="I316" s="16" t="s">
        <v>458</v>
      </c>
      <c r="J316" s="1"/>
      <c r="K316" s="1"/>
      <c r="L316" s="1"/>
      <c r="M316" s="1"/>
      <c r="N316" s="1"/>
    </row>
    <row r="317" spans="1:14" hidden="1" x14ac:dyDescent="0.25">
      <c r="A317" s="1"/>
      <c r="B317" s="16" t="s">
        <v>458</v>
      </c>
      <c r="C317" s="15" t="s">
        <v>647</v>
      </c>
      <c r="D317" s="15" t="s">
        <v>648</v>
      </c>
      <c r="E317" s="16" t="s">
        <v>26</v>
      </c>
      <c r="F317" s="17"/>
      <c r="G317" cm="1">
        <f t="array" ref="G317">IFERROR(_xlfn.XLOOKUP(Pedido891011121412131617181921192223[[#This Row],[Id de Producto]],[1]!Precios[[#All],[Id de Producto]],[1]!Precios[[#All],[Coste estándar]])*Pedido891011121412131617181921192223[[#This Row],[Pedido]],0)</f>
        <v>0</v>
      </c>
      <c r="H317" s="18">
        <v>0</v>
      </c>
      <c r="I317" s="16" t="s">
        <v>458</v>
      </c>
      <c r="J317" s="1"/>
      <c r="K317" s="1"/>
      <c r="L317" s="1"/>
      <c r="M317" s="1"/>
      <c r="N317" s="1"/>
    </row>
    <row r="318" spans="1:14" hidden="1" x14ac:dyDescent="0.25">
      <c r="A318" s="1"/>
      <c r="B318" s="16" t="s">
        <v>458</v>
      </c>
      <c r="C318" s="15" t="s">
        <v>649</v>
      </c>
      <c r="D318" s="15" t="s">
        <v>650</v>
      </c>
      <c r="E318" s="16" t="s">
        <v>26</v>
      </c>
      <c r="F318" s="17"/>
      <c r="G318" cm="1">
        <f t="array" ref="G318">IFERROR(_xlfn.XLOOKUP(Pedido891011121412131617181921192223[[#This Row],[Id de Producto]],[1]!Precios[[#All],[Id de Producto]],[1]!Precios[[#All],[Coste estándar]])*Pedido891011121412131617181921192223[[#This Row],[Pedido]],0)</f>
        <v>0</v>
      </c>
      <c r="H318" s="18">
        <v>0</v>
      </c>
      <c r="I318" s="16" t="s">
        <v>458</v>
      </c>
      <c r="J318" s="1"/>
      <c r="K318" s="1"/>
      <c r="L318" s="1"/>
      <c r="M318" s="1"/>
      <c r="N318" s="1"/>
    </row>
    <row r="319" spans="1:14" hidden="1" x14ac:dyDescent="0.25">
      <c r="A319" s="1"/>
      <c r="B319" s="16" t="s">
        <v>458</v>
      </c>
      <c r="C319" s="15" t="s">
        <v>651</v>
      </c>
      <c r="D319" s="15" t="s">
        <v>652</v>
      </c>
      <c r="E319" s="16" t="s">
        <v>26</v>
      </c>
      <c r="F319" s="17"/>
      <c r="G319" cm="1">
        <f t="array" ref="G319">IFERROR(_xlfn.XLOOKUP(Pedido891011121412131617181921192223[[#This Row],[Id de Producto]],[1]!Precios[[#All],[Id de Producto]],[1]!Precios[[#All],[Coste estándar]])*Pedido891011121412131617181921192223[[#This Row],[Pedido]],0)</f>
        <v>0</v>
      </c>
      <c r="H319" s="18">
        <v>0</v>
      </c>
      <c r="I319" s="16" t="s">
        <v>458</v>
      </c>
      <c r="J319" s="1"/>
      <c r="K319" s="1"/>
      <c r="L319" s="1"/>
      <c r="M319" s="1"/>
      <c r="N319" s="1"/>
    </row>
    <row r="320" spans="1:14" hidden="1" x14ac:dyDescent="0.25">
      <c r="A320" s="1"/>
      <c r="B320" s="16" t="s">
        <v>458</v>
      </c>
      <c r="C320" s="16" t="s">
        <v>653</v>
      </c>
      <c r="D320" s="15" t="s">
        <v>654</v>
      </c>
      <c r="E320" s="16" t="s">
        <v>26</v>
      </c>
      <c r="F320" s="17"/>
      <c r="G320" cm="1">
        <f t="array" ref="G320">IFERROR(_xlfn.XLOOKUP(Pedido891011121412131617181921192223[[#This Row],[Id de Producto]],[1]!Precios[[#All],[Id de Producto]],[1]!Precios[[#All],[Coste estándar]])*Pedido891011121412131617181921192223[[#This Row],[Pedido]],0)</f>
        <v>0</v>
      </c>
      <c r="H320" s="18">
        <v>0</v>
      </c>
      <c r="I320" s="16" t="s">
        <v>458</v>
      </c>
      <c r="J320" s="1"/>
      <c r="K320" s="1"/>
      <c r="L320" s="1"/>
      <c r="M320" s="1"/>
      <c r="N320" s="1"/>
    </row>
    <row r="321" spans="1:14" hidden="1" x14ac:dyDescent="0.25">
      <c r="A321" s="1"/>
      <c r="B321" s="16" t="s">
        <v>458</v>
      </c>
      <c r="C321" s="15" t="s">
        <v>655</v>
      </c>
      <c r="D321" s="15" t="s">
        <v>656</v>
      </c>
      <c r="E321" s="16" t="s">
        <v>26</v>
      </c>
      <c r="F321" s="17"/>
      <c r="G321" cm="1">
        <f t="array" ref="G321">IFERROR(_xlfn.XLOOKUP(Pedido891011121412131617181921192223[[#This Row],[Id de Producto]],[1]!Precios[[#All],[Id de Producto]],[1]!Precios[[#All],[Coste estándar]])*Pedido891011121412131617181921192223[[#This Row],[Pedido]],0)</f>
        <v>0</v>
      </c>
      <c r="H321" s="18">
        <v>0</v>
      </c>
      <c r="I321" s="16" t="s">
        <v>458</v>
      </c>
      <c r="J321" s="1"/>
      <c r="K321" s="1"/>
      <c r="L321" s="1"/>
      <c r="M321" s="1"/>
      <c r="N321" s="1"/>
    </row>
    <row r="322" spans="1:14" hidden="1" x14ac:dyDescent="0.25">
      <c r="A322" s="1"/>
      <c r="B322" s="15" t="s">
        <v>458</v>
      </c>
      <c r="C322" s="15" t="s">
        <v>657</v>
      </c>
      <c r="D322" s="15" t="s">
        <v>658</v>
      </c>
      <c r="E322" s="16" t="s">
        <v>26</v>
      </c>
      <c r="F322" s="17"/>
      <c r="G322" cm="1">
        <f t="array" ref="G322">IFERROR(_xlfn.XLOOKUP(Pedido891011121412131617181921192223[[#This Row],[Id de Producto]],[1]!Precios[[#All],[Id de Producto]],[1]!Precios[[#All],[Coste estándar]])*Pedido891011121412131617181921192223[[#This Row],[Pedido]],0)</f>
        <v>0</v>
      </c>
      <c r="H322" s="18">
        <v>0</v>
      </c>
      <c r="I322" s="16" t="s">
        <v>458</v>
      </c>
      <c r="J322" s="1"/>
      <c r="K322" s="1"/>
      <c r="L322" s="1"/>
      <c r="M322" s="1"/>
      <c r="N322" s="1"/>
    </row>
    <row r="323" spans="1:14" hidden="1" x14ac:dyDescent="0.25">
      <c r="A323" s="1"/>
      <c r="B323" s="16" t="s">
        <v>458</v>
      </c>
      <c r="C323" s="15" t="s">
        <v>659</v>
      </c>
      <c r="D323" s="15" t="s">
        <v>660</v>
      </c>
      <c r="E323" s="16" t="s">
        <v>26</v>
      </c>
      <c r="F323" s="17"/>
      <c r="G323" cm="1">
        <f t="array" ref="G323">IFERROR(_xlfn.XLOOKUP(Pedido891011121412131617181921192223[[#This Row],[Id de Producto]],[1]!Precios[[#All],[Id de Producto]],[1]!Precios[[#All],[Coste estándar]])*Pedido891011121412131617181921192223[[#This Row],[Pedido]],0)</f>
        <v>0</v>
      </c>
      <c r="H323" s="18">
        <v>0</v>
      </c>
      <c r="I323" s="16" t="s">
        <v>458</v>
      </c>
      <c r="J323" s="1"/>
      <c r="K323" s="1"/>
      <c r="L323" s="1"/>
      <c r="M323" s="1"/>
      <c r="N323" s="1"/>
    </row>
    <row r="324" spans="1:14" hidden="1" x14ac:dyDescent="0.25">
      <c r="A324" s="1"/>
      <c r="B324" s="16" t="s">
        <v>458</v>
      </c>
      <c r="C324" s="15" t="s">
        <v>661</v>
      </c>
      <c r="D324" s="15" t="s">
        <v>662</v>
      </c>
      <c r="E324" s="16" t="s">
        <v>22</v>
      </c>
      <c r="F324" s="17"/>
      <c r="G324" cm="1">
        <f t="array" ref="G324">IFERROR(_xlfn.XLOOKUP(Pedido891011121412131617181921192223[[#This Row],[Id de Producto]],[1]!Precios[[#All],[Id de Producto]],[1]!Precios[[#All],[Coste estándar]])*Pedido891011121412131617181921192223[[#This Row],[Pedido]],0)</f>
        <v>0</v>
      </c>
      <c r="H324" s="18">
        <v>0</v>
      </c>
      <c r="I324" s="16" t="s">
        <v>458</v>
      </c>
      <c r="J324" s="1"/>
      <c r="K324" s="1"/>
      <c r="L324" s="1"/>
      <c r="M324" s="1"/>
      <c r="N324" s="1"/>
    </row>
    <row r="325" spans="1:14" hidden="1" x14ac:dyDescent="0.25">
      <c r="A325" s="1"/>
      <c r="B325" s="15" t="s">
        <v>458</v>
      </c>
      <c r="C325" s="15" t="s">
        <v>663</v>
      </c>
      <c r="D325" s="15" t="s">
        <v>664</v>
      </c>
      <c r="E325" s="16" t="s">
        <v>26</v>
      </c>
      <c r="F325" s="17"/>
      <c r="G325" cm="1">
        <f t="array" ref="G325">IFERROR(_xlfn.XLOOKUP(Pedido891011121412131617181921192223[[#This Row],[Id de Producto]],[1]!Precios[[#All],[Id de Producto]],[1]!Precios[[#All],[Coste estándar]])*Pedido891011121412131617181921192223[[#This Row],[Pedido]],0)</f>
        <v>0</v>
      </c>
      <c r="H325" s="18">
        <v>0</v>
      </c>
      <c r="I325" s="16" t="s">
        <v>458</v>
      </c>
      <c r="J325" s="1"/>
      <c r="K325" s="1"/>
      <c r="L325" s="1"/>
      <c r="M325" s="1"/>
      <c r="N325" s="1"/>
    </row>
    <row r="326" spans="1:14" hidden="1" x14ac:dyDescent="0.25">
      <c r="A326" s="1"/>
      <c r="B326" s="15" t="s">
        <v>458</v>
      </c>
      <c r="C326" s="15" t="s">
        <v>665</v>
      </c>
      <c r="D326" s="15" t="s">
        <v>666</v>
      </c>
      <c r="E326" s="16" t="s">
        <v>22</v>
      </c>
      <c r="F326" s="17"/>
      <c r="G326" cm="1">
        <f t="array" ref="G326">IFERROR(_xlfn.XLOOKUP(Pedido891011121412131617181921192223[[#This Row],[Id de Producto]],[1]!Precios[[#All],[Id de Producto]],[1]!Precios[[#All],[Coste estándar]])*Pedido891011121412131617181921192223[[#This Row],[Pedido]],0)</f>
        <v>0</v>
      </c>
      <c r="H326" s="18">
        <v>0</v>
      </c>
      <c r="I326" s="16" t="s">
        <v>458</v>
      </c>
      <c r="J326" s="1"/>
      <c r="K326" s="1"/>
      <c r="L326" s="1"/>
      <c r="M326" s="1"/>
      <c r="N326" s="1"/>
    </row>
    <row r="327" spans="1:14" hidden="1" x14ac:dyDescent="0.25">
      <c r="A327" s="1"/>
      <c r="B327" s="15" t="s">
        <v>458</v>
      </c>
      <c r="C327" s="15" t="s">
        <v>667</v>
      </c>
      <c r="D327" s="15" t="s">
        <v>668</v>
      </c>
      <c r="E327" s="16" t="s">
        <v>26</v>
      </c>
      <c r="F327" s="17"/>
      <c r="G327" cm="1">
        <f t="array" ref="G327">IFERROR(_xlfn.XLOOKUP(Pedido891011121412131617181921192223[[#This Row],[Id de Producto]],[1]!Precios[[#All],[Id de Producto]],[1]!Precios[[#All],[Coste estándar]])*Pedido891011121412131617181921192223[[#This Row],[Pedido]],0)</f>
        <v>0</v>
      </c>
      <c r="H327" s="18">
        <v>0</v>
      </c>
      <c r="I327" s="16" t="s">
        <v>458</v>
      </c>
      <c r="J327" s="1"/>
      <c r="K327" s="1"/>
      <c r="L327" s="1"/>
      <c r="M327" s="1"/>
      <c r="N327" s="1"/>
    </row>
    <row r="328" spans="1:14" hidden="1" x14ac:dyDescent="0.25">
      <c r="A328" s="1"/>
      <c r="B328" s="16" t="s">
        <v>458</v>
      </c>
      <c r="C328" s="15" t="s">
        <v>669</v>
      </c>
      <c r="D328" s="15" t="s">
        <v>670</v>
      </c>
      <c r="E328" s="16" t="s">
        <v>26</v>
      </c>
      <c r="F328" s="17"/>
      <c r="G328" cm="1">
        <f t="array" ref="G328">IFERROR(_xlfn.XLOOKUP(Pedido891011121412131617181921192223[[#This Row],[Id de Producto]],[1]!Precios[[#All],[Id de Producto]],[1]!Precios[[#All],[Coste estándar]])*Pedido891011121412131617181921192223[[#This Row],[Pedido]],0)</f>
        <v>0</v>
      </c>
      <c r="H328" s="18">
        <v>0</v>
      </c>
      <c r="I328" s="16" t="s">
        <v>458</v>
      </c>
      <c r="J328" s="1"/>
      <c r="K328" s="1"/>
      <c r="L328" s="1"/>
      <c r="M328" s="1"/>
      <c r="N328" s="1"/>
    </row>
    <row r="329" spans="1:14" hidden="1" x14ac:dyDescent="0.25">
      <c r="A329" s="1"/>
      <c r="B329" s="16" t="s">
        <v>458</v>
      </c>
      <c r="C329" s="15" t="s">
        <v>671</v>
      </c>
      <c r="D329" s="15" t="s">
        <v>672</v>
      </c>
      <c r="E329" s="16" t="s">
        <v>22</v>
      </c>
      <c r="F329" s="17"/>
      <c r="G329" cm="1">
        <f t="array" ref="G329">IFERROR(_xlfn.XLOOKUP(Pedido891011121412131617181921192223[[#This Row],[Id de Producto]],[1]!Precios[[#All],[Id de Producto]],[1]!Precios[[#All],[Coste estándar]])*Pedido891011121412131617181921192223[[#This Row],[Pedido]],0)</f>
        <v>0</v>
      </c>
      <c r="H329" s="18">
        <v>0</v>
      </c>
      <c r="I329" s="16" t="s">
        <v>458</v>
      </c>
      <c r="J329" s="1"/>
      <c r="K329" s="1"/>
      <c r="L329" s="1"/>
      <c r="M329" s="1"/>
      <c r="N329" s="1"/>
    </row>
    <row r="330" spans="1:14" hidden="1" x14ac:dyDescent="0.25">
      <c r="A330" s="1"/>
      <c r="B330" s="15" t="s">
        <v>458</v>
      </c>
      <c r="C330" s="15" t="s">
        <v>673</v>
      </c>
      <c r="D330" s="15" t="s">
        <v>674</v>
      </c>
      <c r="E330" s="16" t="s">
        <v>26</v>
      </c>
      <c r="F330" s="17"/>
      <c r="G330" cm="1">
        <f t="array" ref="G330">IFERROR(_xlfn.XLOOKUP(Pedido891011121412131617181921192223[[#This Row],[Id de Producto]],[1]!Precios[[#All],[Id de Producto]],[1]!Precios[[#All],[Coste estándar]])*Pedido891011121412131617181921192223[[#This Row],[Pedido]],0)</f>
        <v>0</v>
      </c>
      <c r="H330" s="18">
        <v>0</v>
      </c>
      <c r="I330" s="16" t="s">
        <v>458</v>
      </c>
      <c r="J330" s="1"/>
      <c r="K330" s="1"/>
      <c r="L330" s="1"/>
      <c r="M330" s="1"/>
      <c r="N330" s="1"/>
    </row>
    <row r="331" spans="1:14" hidden="1" x14ac:dyDescent="0.25">
      <c r="A331" s="1"/>
      <c r="B331" s="16" t="s">
        <v>458</v>
      </c>
      <c r="C331" s="16" t="s">
        <v>675</v>
      </c>
      <c r="D331" s="15" t="s">
        <v>676</v>
      </c>
      <c r="E331" s="16" t="s">
        <v>26</v>
      </c>
      <c r="F331" s="17"/>
      <c r="G331" cm="1">
        <f t="array" ref="G331">IFERROR(_xlfn.XLOOKUP(Pedido891011121412131617181921192223[[#This Row],[Id de Producto]],[1]!Precios[[#All],[Id de Producto]],[1]!Precios[[#All],[Coste estándar]])*Pedido891011121412131617181921192223[[#This Row],[Pedido]],0)</f>
        <v>0</v>
      </c>
      <c r="H331" s="18">
        <v>0</v>
      </c>
      <c r="I331" s="16" t="s">
        <v>458</v>
      </c>
      <c r="J331" s="1"/>
      <c r="K331" s="1"/>
      <c r="L331" s="1"/>
      <c r="M331" s="1"/>
      <c r="N331" s="1"/>
    </row>
    <row r="332" spans="1:14" hidden="1" x14ac:dyDescent="0.25">
      <c r="A332" s="1"/>
      <c r="B332" s="15" t="s">
        <v>458</v>
      </c>
      <c r="C332" s="16" t="s">
        <v>677</v>
      </c>
      <c r="D332" s="15" t="s">
        <v>678</v>
      </c>
      <c r="E332" s="16" t="s">
        <v>26</v>
      </c>
      <c r="F332" s="17"/>
      <c r="G332" cm="1">
        <f t="array" ref="G332">IFERROR(_xlfn.XLOOKUP(Pedido891011121412131617181921192223[[#This Row],[Id de Producto]],[1]!Precios[[#All],[Id de Producto]],[1]!Precios[[#All],[Coste estándar]])*Pedido891011121412131617181921192223[[#This Row],[Pedido]],0)</f>
        <v>0</v>
      </c>
      <c r="H332" s="18">
        <v>0</v>
      </c>
      <c r="I332" s="16" t="s">
        <v>458</v>
      </c>
      <c r="J332" s="1"/>
      <c r="K332" s="1"/>
      <c r="L332" s="1"/>
      <c r="M332" s="1"/>
      <c r="N332" s="1"/>
    </row>
    <row r="333" spans="1:14" hidden="1" x14ac:dyDescent="0.25">
      <c r="A333" s="1"/>
      <c r="B333" s="16" t="s">
        <v>458</v>
      </c>
      <c r="C333" s="15" t="s">
        <v>679</v>
      </c>
      <c r="D333" s="15" t="s">
        <v>680</v>
      </c>
      <c r="E333" s="16" t="s">
        <v>26</v>
      </c>
      <c r="F333" s="17"/>
      <c r="G333" cm="1">
        <f t="array" ref="G333">IFERROR(_xlfn.XLOOKUP(Pedido891011121412131617181921192223[[#This Row],[Id de Producto]],[1]!Precios[[#All],[Id de Producto]],[1]!Precios[[#All],[Coste estándar]])*Pedido891011121412131617181921192223[[#This Row],[Pedido]],0)</f>
        <v>0</v>
      </c>
      <c r="H333" s="18">
        <v>0</v>
      </c>
      <c r="I333" s="16" t="s">
        <v>458</v>
      </c>
      <c r="J333" s="1"/>
      <c r="K333" s="1"/>
      <c r="L333" s="1"/>
      <c r="M333" s="1"/>
      <c r="N333" s="1"/>
    </row>
    <row r="334" spans="1:14" hidden="1" x14ac:dyDescent="0.25">
      <c r="A334" s="1"/>
      <c r="B334" s="16" t="s">
        <v>458</v>
      </c>
      <c r="C334" s="15" t="s">
        <v>681</v>
      </c>
      <c r="D334" s="15" t="s">
        <v>682</v>
      </c>
      <c r="E334" s="16" t="s">
        <v>26</v>
      </c>
      <c r="F334" s="17"/>
      <c r="G334" cm="1">
        <f t="array" ref="G334">IFERROR(_xlfn.XLOOKUP(Pedido891011121412131617181921192223[[#This Row],[Id de Producto]],[1]!Precios[[#All],[Id de Producto]],[1]!Precios[[#All],[Coste estándar]])*Pedido891011121412131617181921192223[[#This Row],[Pedido]],0)</f>
        <v>0</v>
      </c>
      <c r="H334" s="18">
        <v>0</v>
      </c>
      <c r="I334" s="16" t="s">
        <v>458</v>
      </c>
      <c r="J334" s="1"/>
      <c r="K334" s="1"/>
      <c r="L334" s="1"/>
      <c r="M334" s="1"/>
      <c r="N334" s="1"/>
    </row>
    <row r="335" spans="1:14" hidden="1" x14ac:dyDescent="0.25">
      <c r="A335" s="1"/>
      <c r="B335" s="15" t="s">
        <v>458</v>
      </c>
      <c r="C335" s="15" t="s">
        <v>683</v>
      </c>
      <c r="D335" s="15" t="s">
        <v>684</v>
      </c>
      <c r="E335" s="16" t="s">
        <v>26</v>
      </c>
      <c r="F335" s="17"/>
      <c r="G335" cm="1">
        <f t="array" ref="G335">IFERROR(_xlfn.XLOOKUP(Pedido891011121412131617181921192223[[#This Row],[Id de Producto]],[1]!Precios[[#All],[Id de Producto]],[1]!Precios[[#All],[Coste estándar]])*Pedido891011121412131617181921192223[[#This Row],[Pedido]],0)</f>
        <v>0</v>
      </c>
      <c r="H335" s="18">
        <v>0</v>
      </c>
      <c r="I335" s="16" t="s">
        <v>458</v>
      </c>
      <c r="J335" s="1"/>
      <c r="K335" s="1"/>
      <c r="L335" s="1"/>
      <c r="M335" s="1"/>
      <c r="N335" s="1"/>
    </row>
    <row r="336" spans="1:14" hidden="1" x14ac:dyDescent="0.25">
      <c r="A336" s="1"/>
      <c r="B336" s="15" t="s">
        <v>458</v>
      </c>
      <c r="C336" s="15" t="s">
        <v>685</v>
      </c>
      <c r="D336" s="15" t="s">
        <v>686</v>
      </c>
      <c r="E336" s="16" t="s">
        <v>26</v>
      </c>
      <c r="F336" s="17"/>
      <c r="G336" cm="1">
        <f t="array" ref="G336">IFERROR(_xlfn.XLOOKUP(Pedido891011121412131617181921192223[[#This Row],[Id de Producto]],[1]!Precios[[#All],[Id de Producto]],[1]!Precios[[#All],[Coste estándar]])*Pedido891011121412131617181921192223[[#This Row],[Pedido]],0)</f>
        <v>0</v>
      </c>
      <c r="H336" s="18">
        <v>0</v>
      </c>
      <c r="I336" s="16" t="s">
        <v>458</v>
      </c>
      <c r="J336" s="1"/>
      <c r="K336" s="1"/>
      <c r="L336" s="1"/>
      <c r="M336" s="1"/>
      <c r="N336" s="1"/>
    </row>
    <row r="337" spans="1:14" hidden="1" x14ac:dyDescent="0.25">
      <c r="A337" s="1"/>
      <c r="B337" s="15" t="s">
        <v>458</v>
      </c>
      <c r="C337" s="15" t="s">
        <v>687</v>
      </c>
      <c r="D337" s="15" t="s">
        <v>688</v>
      </c>
      <c r="E337" s="16" t="s">
        <v>26</v>
      </c>
      <c r="F337" s="17"/>
      <c r="G337" cm="1">
        <f t="array" ref="G337">IFERROR(_xlfn.XLOOKUP(Pedido891011121412131617181921192223[[#This Row],[Id de Producto]],[1]!Precios[[#All],[Id de Producto]],[1]!Precios[[#All],[Coste estándar]])*Pedido891011121412131617181921192223[[#This Row],[Pedido]],0)</f>
        <v>0</v>
      </c>
      <c r="H337" s="18">
        <v>0</v>
      </c>
      <c r="I337" s="16" t="s">
        <v>458</v>
      </c>
      <c r="J337" s="1"/>
      <c r="K337" s="1"/>
      <c r="L337" s="1"/>
      <c r="M337" s="1"/>
      <c r="N337" s="1"/>
    </row>
    <row r="338" spans="1:14" hidden="1" x14ac:dyDescent="0.25">
      <c r="A338" s="1"/>
      <c r="B338" s="16" t="s">
        <v>458</v>
      </c>
      <c r="C338" s="15" t="s">
        <v>689</v>
      </c>
      <c r="D338" s="15" t="s">
        <v>690</v>
      </c>
      <c r="E338" s="16" t="s">
        <v>26</v>
      </c>
      <c r="F338" s="17"/>
      <c r="G338" cm="1">
        <f t="array" ref="G338">IFERROR(_xlfn.XLOOKUP(Pedido891011121412131617181921192223[[#This Row],[Id de Producto]],[1]!Precios[[#All],[Id de Producto]],[1]!Precios[[#All],[Coste estándar]])*Pedido891011121412131617181921192223[[#This Row],[Pedido]],0)</f>
        <v>0</v>
      </c>
      <c r="H338" s="18">
        <v>0</v>
      </c>
      <c r="I338" s="16" t="s">
        <v>458</v>
      </c>
      <c r="J338" s="1"/>
      <c r="K338" s="1"/>
      <c r="L338" s="1"/>
      <c r="M338" s="1"/>
      <c r="N338" s="1"/>
    </row>
    <row r="339" spans="1:14" hidden="1" x14ac:dyDescent="0.25">
      <c r="A339" s="1"/>
      <c r="B339" s="16" t="s">
        <v>458</v>
      </c>
      <c r="C339" s="15" t="s">
        <v>691</v>
      </c>
      <c r="D339" s="15" t="s">
        <v>692</v>
      </c>
      <c r="E339" s="16" t="s">
        <v>26</v>
      </c>
      <c r="F339" s="17"/>
      <c r="G339" cm="1">
        <f t="array" ref="G339">IFERROR(_xlfn.XLOOKUP(Pedido891011121412131617181921192223[[#This Row],[Id de Producto]],[1]!Precios[[#All],[Id de Producto]],[1]!Precios[[#All],[Coste estándar]])*Pedido891011121412131617181921192223[[#This Row],[Pedido]],0)</f>
        <v>0</v>
      </c>
      <c r="H339" s="18">
        <v>0</v>
      </c>
      <c r="I339" s="16" t="s">
        <v>458</v>
      </c>
      <c r="J339" s="1"/>
      <c r="K339" s="1"/>
      <c r="L339" s="1"/>
      <c r="M339" s="1"/>
      <c r="N339" s="1"/>
    </row>
    <row r="340" spans="1:14" hidden="1" x14ac:dyDescent="0.25">
      <c r="A340" s="1"/>
      <c r="B340" s="16" t="s">
        <v>458</v>
      </c>
      <c r="C340" s="15" t="s">
        <v>693</v>
      </c>
      <c r="D340" s="15" t="s">
        <v>694</v>
      </c>
      <c r="E340" s="16" t="s">
        <v>22</v>
      </c>
      <c r="F340" s="17"/>
      <c r="G340" cm="1">
        <f t="array" ref="G340">IFERROR(_xlfn.XLOOKUP(Pedido891011121412131617181921192223[[#This Row],[Id de Producto]],[1]!Precios[[#All],[Id de Producto]],[1]!Precios[[#All],[Coste estándar]])*Pedido891011121412131617181921192223[[#This Row],[Pedido]],0)</f>
        <v>0</v>
      </c>
      <c r="H340" s="18">
        <v>0</v>
      </c>
      <c r="I340" s="16" t="s">
        <v>458</v>
      </c>
      <c r="J340" s="1"/>
      <c r="K340" s="1"/>
      <c r="L340" s="1"/>
      <c r="M340" s="1"/>
      <c r="N340" s="1"/>
    </row>
    <row r="341" spans="1:14" hidden="1" x14ac:dyDescent="0.25">
      <c r="A341" s="1"/>
      <c r="B341" s="16" t="s">
        <v>458</v>
      </c>
      <c r="C341" s="15" t="s">
        <v>695</v>
      </c>
      <c r="D341" s="15" t="s">
        <v>696</v>
      </c>
      <c r="E341" s="16" t="s">
        <v>26</v>
      </c>
      <c r="F341" s="17"/>
      <c r="G341" cm="1">
        <f t="array" ref="G341">IFERROR(_xlfn.XLOOKUP(Pedido891011121412131617181921192223[[#This Row],[Id de Producto]],[1]!Precios[[#All],[Id de Producto]],[1]!Precios[[#All],[Coste estándar]])*Pedido891011121412131617181921192223[[#This Row],[Pedido]],0)</f>
        <v>0</v>
      </c>
      <c r="H341" s="18">
        <v>0</v>
      </c>
      <c r="I341" s="16" t="s">
        <v>458</v>
      </c>
      <c r="J341" s="1"/>
      <c r="K341" s="1"/>
      <c r="L341" s="1"/>
      <c r="M341" s="1"/>
      <c r="N341" s="1"/>
    </row>
    <row r="342" spans="1:14" hidden="1" x14ac:dyDescent="0.25">
      <c r="A342" s="1"/>
      <c r="B342" s="16" t="s">
        <v>458</v>
      </c>
      <c r="C342" s="15" t="s">
        <v>697</v>
      </c>
      <c r="D342" s="15" t="s">
        <v>698</v>
      </c>
      <c r="E342" s="16" t="s">
        <v>26</v>
      </c>
      <c r="F342" s="17"/>
      <c r="G342" cm="1">
        <f t="array" ref="G342">IFERROR(_xlfn.XLOOKUP(Pedido891011121412131617181921192223[[#This Row],[Id de Producto]],[1]!Precios[[#All],[Id de Producto]],[1]!Precios[[#All],[Coste estándar]])*Pedido891011121412131617181921192223[[#This Row],[Pedido]],0)</f>
        <v>0</v>
      </c>
      <c r="H342" s="18">
        <v>0</v>
      </c>
      <c r="I342" s="16" t="s">
        <v>458</v>
      </c>
      <c r="J342" s="1"/>
      <c r="K342" s="1"/>
      <c r="L342" s="1"/>
      <c r="M342" s="1"/>
      <c r="N342" s="1"/>
    </row>
    <row r="343" spans="1:14" hidden="1" x14ac:dyDescent="0.25">
      <c r="A343" s="1"/>
      <c r="B343" s="16" t="s">
        <v>458</v>
      </c>
      <c r="C343" s="15" t="s">
        <v>699</v>
      </c>
      <c r="D343" s="15" t="s">
        <v>700</v>
      </c>
      <c r="E343" s="16" t="s">
        <v>26</v>
      </c>
      <c r="F343" s="17"/>
      <c r="G343" cm="1">
        <f t="array" ref="G343">IFERROR(_xlfn.XLOOKUP(Pedido891011121412131617181921192223[[#This Row],[Id de Producto]],[1]!Precios[[#All],[Id de Producto]],[1]!Precios[[#All],[Coste estándar]])*Pedido891011121412131617181921192223[[#This Row],[Pedido]],0)</f>
        <v>0</v>
      </c>
      <c r="H343" s="18">
        <v>0</v>
      </c>
      <c r="I343" s="16" t="s">
        <v>458</v>
      </c>
      <c r="J343" s="1"/>
      <c r="K343" s="1"/>
      <c r="L343" s="1"/>
      <c r="M343" s="1"/>
      <c r="N343" s="1"/>
    </row>
    <row r="344" spans="1:14" hidden="1" x14ac:dyDescent="0.25">
      <c r="A344" s="1"/>
      <c r="B344" s="16" t="s">
        <v>441</v>
      </c>
      <c r="C344" s="15" t="s">
        <v>701</v>
      </c>
      <c r="D344" s="15" t="s">
        <v>702</v>
      </c>
      <c r="E344" s="16" t="s">
        <v>26</v>
      </c>
      <c r="F344" s="17"/>
      <c r="G344" cm="1">
        <f t="array" ref="G344">IFERROR(_xlfn.XLOOKUP(Pedido891011121412131617181921192223[[#This Row],[Id de Producto]],[1]!Precios[[#All],[Id de Producto]],[1]!Precios[[#All],[Coste estándar]])*Pedido891011121412131617181921192223[[#This Row],[Pedido]],0)</f>
        <v>0</v>
      </c>
      <c r="H344" s="18">
        <v>0</v>
      </c>
      <c r="I344" s="15" t="s">
        <v>441</v>
      </c>
      <c r="J344" s="1"/>
      <c r="K344" s="1"/>
      <c r="L344" s="1"/>
      <c r="M344" s="1"/>
      <c r="N344" s="1"/>
    </row>
    <row r="345" spans="1:14" hidden="1" x14ac:dyDescent="0.25">
      <c r="A345" s="1"/>
      <c r="B345" s="16" t="s">
        <v>441</v>
      </c>
      <c r="C345" s="15" t="s">
        <v>703</v>
      </c>
      <c r="D345" s="15" t="s">
        <v>704</v>
      </c>
      <c r="E345" s="16" t="s">
        <v>26</v>
      </c>
      <c r="F345" s="17"/>
      <c r="G345" cm="1">
        <f t="array" ref="G345">IFERROR(_xlfn.XLOOKUP(Pedido891011121412131617181921192223[[#This Row],[Id de Producto]],[1]!Precios[[#All],[Id de Producto]],[1]!Precios[[#All],[Coste estándar]])*Pedido891011121412131617181921192223[[#This Row],[Pedido]],0)</f>
        <v>0</v>
      </c>
      <c r="H345" s="18">
        <v>0</v>
      </c>
      <c r="I345" s="15" t="s">
        <v>441</v>
      </c>
      <c r="J345" s="1"/>
      <c r="K345" s="1"/>
      <c r="L345" s="1"/>
      <c r="M345" s="1"/>
      <c r="N345" s="1"/>
    </row>
    <row r="346" spans="1:14" hidden="1" x14ac:dyDescent="0.25">
      <c r="A346" s="1"/>
      <c r="B346" s="16" t="s">
        <v>441</v>
      </c>
      <c r="C346" s="15" t="s">
        <v>705</v>
      </c>
      <c r="D346" s="15" t="s">
        <v>706</v>
      </c>
      <c r="E346" s="16" t="s">
        <v>26</v>
      </c>
      <c r="F346" s="17"/>
      <c r="G346" cm="1">
        <f t="array" ref="G346">IFERROR(_xlfn.XLOOKUP(Pedido891011121412131617181921192223[[#This Row],[Id de Producto]],[1]!Precios[[#All],[Id de Producto]],[1]!Precios[[#All],[Coste estándar]])*Pedido891011121412131617181921192223[[#This Row],[Pedido]],0)</f>
        <v>0</v>
      </c>
      <c r="H346" s="18">
        <v>0</v>
      </c>
      <c r="I346" s="15" t="s">
        <v>441</v>
      </c>
      <c r="J346" s="1"/>
      <c r="K346" s="1"/>
      <c r="L346" s="1"/>
      <c r="M346" s="1"/>
      <c r="N346" s="1"/>
    </row>
    <row r="347" spans="1:14" hidden="1" x14ac:dyDescent="0.25">
      <c r="A347" s="1"/>
      <c r="B347" s="16" t="s">
        <v>458</v>
      </c>
      <c r="C347" s="15" t="s">
        <v>707</v>
      </c>
      <c r="D347" s="15" t="s">
        <v>708</v>
      </c>
      <c r="E347" s="16" t="s">
        <v>26</v>
      </c>
      <c r="F347" s="17"/>
      <c r="G347" cm="1">
        <f t="array" ref="G347">IFERROR(_xlfn.XLOOKUP(Pedido891011121412131617181921192223[[#This Row],[Id de Producto]],[1]!Precios[[#All],[Id de Producto]],[1]!Precios[[#All],[Coste estándar]])*Pedido891011121412131617181921192223[[#This Row],[Pedido]],0)</f>
        <v>0</v>
      </c>
      <c r="H347" s="18">
        <v>0</v>
      </c>
      <c r="I347" s="16" t="s">
        <v>458</v>
      </c>
      <c r="J347" s="1"/>
      <c r="K347" s="1"/>
      <c r="L347" s="1"/>
      <c r="M347" s="1"/>
      <c r="N347" s="1"/>
    </row>
    <row r="348" spans="1:14" hidden="1" x14ac:dyDescent="0.25">
      <c r="A348" s="1"/>
      <c r="B348" s="16" t="s">
        <v>255</v>
      </c>
      <c r="C348" s="15" t="s">
        <v>709</v>
      </c>
      <c r="D348" s="15" t="s">
        <v>710</v>
      </c>
      <c r="E348" s="16" t="s">
        <v>26</v>
      </c>
      <c r="F348" s="17"/>
      <c r="G348" cm="1">
        <f t="array" ref="G348">IFERROR(_xlfn.XLOOKUP(Pedido891011121412131617181921192223[[#This Row],[Id de Producto]],[1]!Precios[[#All],[Id de Producto]],[1]!Precios[[#All],[Coste estándar]])*Pedido891011121412131617181921192223[[#This Row],[Pedido]],0)</f>
        <v>0</v>
      </c>
      <c r="H348" s="18">
        <v>0</v>
      </c>
      <c r="I348" s="16" t="s">
        <v>255</v>
      </c>
      <c r="J348" s="1"/>
      <c r="K348" s="1"/>
      <c r="L348" s="1"/>
      <c r="M348" s="1"/>
      <c r="N348" s="1"/>
    </row>
    <row r="349" spans="1:14" hidden="1" x14ac:dyDescent="0.25">
      <c r="A349" s="1"/>
      <c r="B349" s="16" t="s">
        <v>255</v>
      </c>
      <c r="C349" s="15" t="s">
        <v>711</v>
      </c>
      <c r="D349" s="15" t="s">
        <v>712</v>
      </c>
      <c r="E349" s="16" t="s">
        <v>26</v>
      </c>
      <c r="F349" s="17"/>
      <c r="G349" cm="1">
        <f t="array" ref="G349">IFERROR(_xlfn.XLOOKUP(Pedido891011121412131617181921192223[[#This Row],[Id de Producto]],[1]!Precios[[#All],[Id de Producto]],[1]!Precios[[#All],[Coste estándar]])*Pedido891011121412131617181921192223[[#This Row],[Pedido]],0)</f>
        <v>0</v>
      </c>
      <c r="H349" s="18">
        <v>0</v>
      </c>
      <c r="I349" s="16" t="s">
        <v>255</v>
      </c>
      <c r="J349" s="1"/>
      <c r="K349" s="1"/>
      <c r="L349" s="1"/>
      <c r="M349" s="1"/>
      <c r="N349" s="1"/>
    </row>
    <row r="350" spans="1:14" hidden="1" x14ac:dyDescent="0.25">
      <c r="A350" s="1"/>
      <c r="B350" s="15" t="s">
        <v>441</v>
      </c>
      <c r="C350" s="15" t="s">
        <v>713</v>
      </c>
      <c r="D350" s="15" t="s">
        <v>714</v>
      </c>
      <c r="E350" s="16" t="s">
        <v>26</v>
      </c>
      <c r="F350" s="17"/>
      <c r="G350" cm="1">
        <f t="array" ref="G350">IFERROR(_xlfn.XLOOKUP(Pedido891011121412131617181921192223[[#This Row],[Id de Producto]],[1]!Precios[[#All],[Id de Producto]],[1]!Precios[[#All],[Coste estándar]])*Pedido891011121412131617181921192223[[#This Row],[Pedido]],0)</f>
        <v>0</v>
      </c>
      <c r="H350" s="18">
        <v>0</v>
      </c>
      <c r="I350" s="15" t="s">
        <v>441</v>
      </c>
      <c r="J350" s="1"/>
      <c r="K350" s="1"/>
      <c r="L350" s="1"/>
      <c r="M350" s="1"/>
      <c r="N350" s="1"/>
    </row>
    <row r="351" spans="1:14" hidden="1" x14ac:dyDescent="0.25">
      <c r="A351" s="1"/>
      <c r="B351" s="16" t="s">
        <v>441</v>
      </c>
      <c r="C351" s="15" t="s">
        <v>715</v>
      </c>
      <c r="D351" s="15" t="s">
        <v>716</v>
      </c>
      <c r="E351" s="16" t="s">
        <v>26</v>
      </c>
      <c r="F351" s="17"/>
      <c r="G351" cm="1">
        <f t="array" ref="G351">IFERROR(_xlfn.XLOOKUP(Pedido891011121412131617181921192223[[#This Row],[Id de Producto]],[1]!Precios[[#All],[Id de Producto]],[1]!Precios[[#All],[Coste estándar]])*Pedido891011121412131617181921192223[[#This Row],[Pedido]],0)</f>
        <v>0</v>
      </c>
      <c r="H351" s="18">
        <v>0</v>
      </c>
      <c r="I351" s="15" t="s">
        <v>441</v>
      </c>
      <c r="J351" s="1"/>
      <c r="K351" s="1"/>
      <c r="L351" s="1"/>
      <c r="M351" s="1"/>
      <c r="N351" s="1"/>
    </row>
    <row r="352" spans="1:14" hidden="1" x14ac:dyDescent="0.25">
      <c r="A352" s="1"/>
      <c r="B352" s="16" t="s">
        <v>441</v>
      </c>
      <c r="C352" s="15" t="s">
        <v>717</v>
      </c>
      <c r="D352" s="15" t="s">
        <v>718</v>
      </c>
      <c r="E352" s="16" t="s">
        <v>22</v>
      </c>
      <c r="F352" s="17"/>
      <c r="G352" cm="1">
        <f t="array" ref="G352">IFERROR(_xlfn.XLOOKUP(Pedido891011121412131617181921192223[[#This Row],[Id de Producto]],[1]!Precios[[#All],[Id de Producto]],[1]!Precios[[#All],[Coste estándar]])*Pedido891011121412131617181921192223[[#This Row],[Pedido]],0)</f>
        <v>0</v>
      </c>
      <c r="H352" s="18">
        <v>0</v>
      </c>
      <c r="I352" s="15" t="s">
        <v>441</v>
      </c>
      <c r="J352" s="1"/>
      <c r="K352" s="1"/>
      <c r="L352" s="1"/>
      <c r="M352" s="1"/>
      <c r="N352" s="1"/>
    </row>
    <row r="353" spans="1:14" hidden="1" x14ac:dyDescent="0.25">
      <c r="A353" s="1"/>
      <c r="B353" s="16" t="s">
        <v>458</v>
      </c>
      <c r="C353" s="15" t="s">
        <v>719</v>
      </c>
      <c r="D353" s="15" t="s">
        <v>720</v>
      </c>
      <c r="E353" s="16" t="s">
        <v>22</v>
      </c>
      <c r="F353" s="17"/>
      <c r="G353" cm="1">
        <f t="array" ref="G353">IFERROR(_xlfn.XLOOKUP(Pedido891011121412131617181921192223[[#This Row],[Id de Producto]],[1]!Precios[[#All],[Id de Producto]],[1]!Precios[[#All],[Coste estándar]])*Pedido891011121412131617181921192223[[#This Row],[Pedido]],0)</f>
        <v>0</v>
      </c>
      <c r="H353" s="18">
        <v>0</v>
      </c>
      <c r="I353" s="16" t="s">
        <v>458</v>
      </c>
      <c r="J353" s="1"/>
      <c r="K353" s="1"/>
      <c r="L353" s="1"/>
      <c r="M353" s="1"/>
      <c r="N353" s="1"/>
    </row>
    <row r="354" spans="1:14" hidden="1" x14ac:dyDescent="0.25">
      <c r="A354" s="1"/>
      <c r="B354" s="16" t="s">
        <v>255</v>
      </c>
      <c r="C354" s="15" t="s">
        <v>721</v>
      </c>
      <c r="D354" s="15" t="s">
        <v>722</v>
      </c>
      <c r="E354" s="16" t="s">
        <v>22</v>
      </c>
      <c r="F354" s="17"/>
      <c r="G354" cm="1">
        <f t="array" ref="G354">IFERROR(_xlfn.XLOOKUP(Pedido891011121412131617181921192223[[#This Row],[Id de Producto]],[1]!Precios[[#All],[Id de Producto]],[1]!Precios[[#All],[Coste estándar]])*Pedido891011121412131617181921192223[[#This Row],[Pedido]],0)</f>
        <v>0</v>
      </c>
      <c r="H354" s="18">
        <v>0</v>
      </c>
      <c r="I354" s="16" t="s">
        <v>255</v>
      </c>
      <c r="J354" s="1"/>
      <c r="K354" s="1"/>
      <c r="L354" s="1"/>
      <c r="M354" s="1"/>
      <c r="N354" s="1"/>
    </row>
    <row r="355" spans="1:14" hidden="1" x14ac:dyDescent="0.25">
      <c r="A355" s="1"/>
      <c r="B355" s="16" t="s">
        <v>441</v>
      </c>
      <c r="C355" s="15" t="s">
        <v>723</v>
      </c>
      <c r="D355" s="15" t="s">
        <v>724</v>
      </c>
      <c r="E355" s="16" t="s">
        <v>26</v>
      </c>
      <c r="F355" s="17"/>
      <c r="G355" cm="1">
        <f t="array" ref="G355">IFERROR(_xlfn.XLOOKUP(Pedido891011121412131617181921192223[[#This Row],[Id de Producto]],[1]!Precios[[#All],[Id de Producto]],[1]!Precios[[#All],[Coste estándar]])*Pedido891011121412131617181921192223[[#This Row],[Pedido]],0)</f>
        <v>0</v>
      </c>
      <c r="H355" s="18">
        <v>0</v>
      </c>
      <c r="I355" s="15" t="s">
        <v>441</v>
      </c>
      <c r="J355" s="1"/>
      <c r="K355" s="1"/>
      <c r="L355" s="1"/>
      <c r="M355" s="1"/>
      <c r="N355" s="1"/>
    </row>
    <row r="356" spans="1:14" hidden="1" x14ac:dyDescent="0.25">
      <c r="A356" s="1"/>
      <c r="B356" s="15" t="s">
        <v>441</v>
      </c>
      <c r="C356" s="15" t="s">
        <v>725</v>
      </c>
      <c r="D356" s="15" t="s">
        <v>726</v>
      </c>
      <c r="E356" s="16" t="s">
        <v>22</v>
      </c>
      <c r="F356" s="17"/>
      <c r="G356" cm="1">
        <f t="array" ref="G356">IFERROR(_xlfn.XLOOKUP(Pedido891011121412131617181921192223[[#This Row],[Id de Producto]],[1]!Precios[[#All],[Id de Producto]],[1]!Precios[[#All],[Coste estándar]])*Pedido891011121412131617181921192223[[#This Row],[Pedido]],0)</f>
        <v>0</v>
      </c>
      <c r="H356" s="15">
        <v>0</v>
      </c>
      <c r="I356" s="15" t="s">
        <v>441</v>
      </c>
      <c r="J356" s="1"/>
      <c r="K356" s="1"/>
      <c r="L356" s="1"/>
      <c r="M356" s="1"/>
      <c r="N356" s="1"/>
    </row>
    <row r="357" spans="1:14" hidden="1" x14ac:dyDescent="0.25">
      <c r="A357" s="1"/>
      <c r="B357" s="16" t="s">
        <v>441</v>
      </c>
      <c r="C357" s="15" t="s">
        <v>727</v>
      </c>
      <c r="D357" s="15" t="s">
        <v>728</v>
      </c>
      <c r="E357" s="16" t="s">
        <v>22</v>
      </c>
      <c r="F357" s="17"/>
      <c r="G357" cm="1">
        <f t="array" ref="G357">IFERROR(_xlfn.XLOOKUP(Pedido891011121412131617181921192223[[#This Row],[Id de Producto]],[1]!Precios[[#All],[Id de Producto]],[1]!Precios[[#All],[Coste estándar]])*Pedido891011121412131617181921192223[[#This Row],[Pedido]],0)</f>
        <v>0</v>
      </c>
      <c r="H357" s="18">
        <v>0</v>
      </c>
      <c r="I357" s="15" t="s">
        <v>441</v>
      </c>
      <c r="J357" s="1"/>
      <c r="K357" s="1"/>
      <c r="L357" s="1"/>
      <c r="M357" s="1"/>
      <c r="N357" s="1"/>
    </row>
    <row r="358" spans="1:14" hidden="1" x14ac:dyDescent="0.25">
      <c r="A358" s="1"/>
      <c r="B358" s="16" t="s">
        <v>441</v>
      </c>
      <c r="C358" s="15" t="s">
        <v>729</v>
      </c>
      <c r="D358" s="15" t="s">
        <v>730</v>
      </c>
      <c r="E358" s="16" t="s">
        <v>22</v>
      </c>
      <c r="F358" s="17"/>
      <c r="G358" cm="1">
        <f t="array" ref="G358">IFERROR(_xlfn.XLOOKUP(Pedido891011121412131617181921192223[[#This Row],[Id de Producto]],[1]!Precios[[#All],[Id de Producto]],[1]!Precios[[#All],[Coste estándar]])*Pedido891011121412131617181921192223[[#This Row],[Pedido]],0)</f>
        <v>0</v>
      </c>
      <c r="H358" s="18">
        <v>0</v>
      </c>
      <c r="I358" s="15" t="s">
        <v>441</v>
      </c>
      <c r="J358" s="1"/>
      <c r="K358" s="1"/>
      <c r="L358" s="1"/>
      <c r="M358" s="1"/>
      <c r="N358" s="1"/>
    </row>
    <row r="359" spans="1:14" hidden="1" x14ac:dyDescent="0.25">
      <c r="A359" s="1"/>
      <c r="B359" s="16" t="s">
        <v>441</v>
      </c>
      <c r="C359" s="15" t="s">
        <v>731</v>
      </c>
      <c r="D359" s="15" t="s">
        <v>732</v>
      </c>
      <c r="E359" s="16" t="s">
        <v>26</v>
      </c>
      <c r="F359" s="17"/>
      <c r="G359" cm="1">
        <f t="array" ref="G359">IFERROR(_xlfn.XLOOKUP(Pedido891011121412131617181921192223[[#This Row],[Id de Producto]],[1]!Precios[[#All],[Id de Producto]],[1]!Precios[[#All],[Coste estándar]])*Pedido891011121412131617181921192223[[#This Row],[Pedido]],0)</f>
        <v>0</v>
      </c>
      <c r="H359" s="18">
        <v>0</v>
      </c>
      <c r="I359" s="15" t="s">
        <v>441</v>
      </c>
      <c r="J359" s="1"/>
      <c r="K359" s="1"/>
      <c r="L359" s="1"/>
      <c r="M359" s="1"/>
      <c r="N359" s="1"/>
    </row>
    <row r="360" spans="1:14" hidden="1" x14ac:dyDescent="0.25">
      <c r="A360" s="1"/>
      <c r="B360" s="16" t="s">
        <v>441</v>
      </c>
      <c r="C360" s="15" t="s">
        <v>733</v>
      </c>
      <c r="D360" s="15" t="s">
        <v>734</v>
      </c>
      <c r="E360" s="16" t="s">
        <v>22</v>
      </c>
      <c r="F360" s="17"/>
      <c r="G360" cm="1">
        <f t="array" ref="G360">IFERROR(_xlfn.XLOOKUP(Pedido891011121412131617181921192223[[#This Row],[Id de Producto]],[1]!Precios[[#All],[Id de Producto]],[1]!Precios[[#All],[Coste estándar]])*Pedido891011121412131617181921192223[[#This Row],[Pedido]],0)</f>
        <v>0</v>
      </c>
      <c r="H360" s="18">
        <v>0</v>
      </c>
      <c r="I360" s="15" t="s">
        <v>441</v>
      </c>
      <c r="J360" s="1"/>
      <c r="K360" s="1"/>
      <c r="L360" s="1"/>
      <c r="M360" s="1"/>
      <c r="N360" s="1"/>
    </row>
    <row r="361" spans="1:14" hidden="1" x14ac:dyDescent="0.25">
      <c r="A361" s="1"/>
      <c r="B361" s="16" t="s">
        <v>441</v>
      </c>
      <c r="C361" s="15" t="s">
        <v>735</v>
      </c>
      <c r="D361" s="15" t="s">
        <v>736</v>
      </c>
      <c r="E361" s="16" t="s">
        <v>22</v>
      </c>
      <c r="F361" s="17"/>
      <c r="G361" cm="1">
        <f t="array" ref="G361">IFERROR(_xlfn.XLOOKUP(Pedido891011121412131617181921192223[[#This Row],[Id de Producto]],[1]!Precios[[#All],[Id de Producto]],[1]!Precios[[#All],[Coste estándar]])*Pedido891011121412131617181921192223[[#This Row],[Pedido]],0)</f>
        <v>0</v>
      </c>
      <c r="H361" s="18">
        <v>0</v>
      </c>
      <c r="I361" s="15" t="s">
        <v>441</v>
      </c>
      <c r="J361" s="1"/>
      <c r="K361" s="1"/>
      <c r="L361" s="1"/>
      <c r="M361" s="1"/>
      <c r="N361" s="1"/>
    </row>
    <row r="362" spans="1:14" hidden="1" x14ac:dyDescent="0.25">
      <c r="A362" s="1"/>
      <c r="B362" s="16" t="s">
        <v>441</v>
      </c>
      <c r="C362" s="15" t="s">
        <v>737</v>
      </c>
      <c r="D362" s="15" t="s">
        <v>738</v>
      </c>
      <c r="E362" s="16" t="s">
        <v>26</v>
      </c>
      <c r="F362" s="17"/>
      <c r="G362" cm="1">
        <f t="array" ref="G362">IFERROR(_xlfn.XLOOKUP(Pedido891011121412131617181921192223[[#This Row],[Id de Producto]],[1]!Precios[[#All],[Id de Producto]],[1]!Precios[[#All],[Coste estándar]])*Pedido891011121412131617181921192223[[#This Row],[Pedido]],0)</f>
        <v>0</v>
      </c>
      <c r="H362" s="18">
        <v>0</v>
      </c>
      <c r="I362" s="15" t="s">
        <v>441</v>
      </c>
      <c r="J362" s="1"/>
      <c r="K362" s="1"/>
      <c r="L362" s="1"/>
      <c r="M362" s="1"/>
      <c r="N362" s="1"/>
    </row>
    <row r="363" spans="1:14" hidden="1" x14ac:dyDescent="0.25">
      <c r="A363" s="1"/>
      <c r="B363" s="16" t="s">
        <v>441</v>
      </c>
      <c r="C363" s="15" t="s">
        <v>739</v>
      </c>
      <c r="D363" s="15" t="s">
        <v>740</v>
      </c>
      <c r="E363" s="16" t="s">
        <v>26</v>
      </c>
      <c r="F363" s="17"/>
      <c r="G363" cm="1">
        <f t="array" ref="G363">IFERROR(_xlfn.XLOOKUP(Pedido891011121412131617181921192223[[#This Row],[Id de Producto]],[1]!Precios[[#All],[Id de Producto]],[1]!Precios[[#All],[Coste estándar]])*Pedido891011121412131617181921192223[[#This Row],[Pedido]],0)</f>
        <v>0</v>
      </c>
      <c r="H363" s="18">
        <v>0</v>
      </c>
      <c r="I363" s="15" t="s">
        <v>441</v>
      </c>
      <c r="J363" s="1"/>
      <c r="K363" s="1"/>
      <c r="L363" s="1"/>
      <c r="M363" s="1"/>
      <c r="N363" s="1"/>
    </row>
    <row r="364" spans="1:14" hidden="1" x14ac:dyDescent="0.25">
      <c r="A364" s="1"/>
      <c r="B364" s="16" t="s">
        <v>458</v>
      </c>
      <c r="C364" s="15" t="s">
        <v>741</v>
      </c>
      <c r="D364" s="15" t="s">
        <v>742</v>
      </c>
      <c r="E364" s="16" t="s">
        <v>26</v>
      </c>
      <c r="F364" s="17"/>
      <c r="G364" cm="1">
        <f t="array" ref="G364">IFERROR(_xlfn.XLOOKUP(Pedido891011121412131617181921192223[[#This Row],[Id de Producto]],[1]!Precios[[#All],[Id de Producto]],[1]!Precios[[#All],[Coste estándar]])*Pedido891011121412131617181921192223[[#This Row],[Pedido]],0)</f>
        <v>0</v>
      </c>
      <c r="H364" s="18">
        <v>0</v>
      </c>
      <c r="I364" s="16" t="s">
        <v>458</v>
      </c>
      <c r="J364" s="1"/>
      <c r="K364" s="1"/>
      <c r="L364" s="1"/>
      <c r="M364" s="1"/>
      <c r="N364" s="1"/>
    </row>
    <row r="365" spans="1:14" hidden="1" x14ac:dyDescent="0.25">
      <c r="A365" s="1"/>
      <c r="B365" s="16" t="s">
        <v>441</v>
      </c>
      <c r="C365" s="15" t="s">
        <v>743</v>
      </c>
      <c r="D365" s="15" t="s">
        <v>744</v>
      </c>
      <c r="E365" s="16" t="s">
        <v>26</v>
      </c>
      <c r="F365" s="17"/>
      <c r="G365" cm="1">
        <f t="array" ref="G365">IFERROR(_xlfn.XLOOKUP(Pedido891011121412131617181921192223[[#This Row],[Id de Producto]],[1]!Precios[[#All],[Id de Producto]],[1]!Precios[[#All],[Coste estándar]])*Pedido891011121412131617181921192223[[#This Row],[Pedido]],0)</f>
        <v>0</v>
      </c>
      <c r="H365" s="18">
        <v>0</v>
      </c>
      <c r="I365" s="15" t="s">
        <v>441</v>
      </c>
      <c r="J365" s="1"/>
      <c r="K365" s="1"/>
      <c r="L365" s="1"/>
      <c r="M365" s="1"/>
      <c r="N365" s="1"/>
    </row>
    <row r="366" spans="1:14" hidden="1" x14ac:dyDescent="0.25">
      <c r="A366" s="1"/>
      <c r="B366" s="16" t="s">
        <v>441</v>
      </c>
      <c r="C366" s="15" t="s">
        <v>745</v>
      </c>
      <c r="D366" s="15" t="s">
        <v>746</v>
      </c>
      <c r="E366" s="16" t="s">
        <v>26</v>
      </c>
      <c r="F366" s="17"/>
      <c r="G366" cm="1">
        <f t="array" ref="G366">IFERROR(_xlfn.XLOOKUP(Pedido891011121412131617181921192223[[#This Row],[Id de Producto]],[1]!Precios[[#All],[Id de Producto]],[1]!Precios[[#All],[Coste estándar]])*Pedido891011121412131617181921192223[[#This Row],[Pedido]],0)</f>
        <v>0</v>
      </c>
      <c r="H366" s="18">
        <v>0</v>
      </c>
      <c r="I366" s="15" t="s">
        <v>441</v>
      </c>
      <c r="J366" s="1"/>
      <c r="K366" s="1"/>
      <c r="L366" s="1"/>
      <c r="M366" s="1"/>
      <c r="N366" s="1"/>
    </row>
    <row r="367" spans="1:14" hidden="1" x14ac:dyDescent="0.25">
      <c r="A367" s="1"/>
      <c r="B367" s="16" t="s">
        <v>441</v>
      </c>
      <c r="C367" s="15" t="s">
        <v>747</v>
      </c>
      <c r="D367" s="15" t="s">
        <v>748</v>
      </c>
      <c r="E367" s="16" t="s">
        <v>26</v>
      </c>
      <c r="F367" s="17"/>
      <c r="G367" cm="1">
        <f t="array" ref="G367">IFERROR(_xlfn.XLOOKUP(Pedido891011121412131617181921192223[[#This Row],[Id de Producto]],[1]!Precios[[#All],[Id de Producto]],[1]!Precios[[#All],[Coste estándar]])*Pedido891011121412131617181921192223[[#This Row],[Pedido]],0)</f>
        <v>0</v>
      </c>
      <c r="H367" s="18">
        <v>0</v>
      </c>
      <c r="I367" s="15" t="s">
        <v>441</v>
      </c>
      <c r="J367" s="1"/>
      <c r="K367" s="1"/>
      <c r="L367" s="1"/>
      <c r="M367" s="1"/>
      <c r="N367" s="1"/>
    </row>
    <row r="368" spans="1:14" hidden="1" x14ac:dyDescent="0.25">
      <c r="A368" s="1"/>
      <c r="B368" s="16" t="s">
        <v>441</v>
      </c>
      <c r="C368" s="15" t="s">
        <v>749</v>
      </c>
      <c r="D368" s="15" t="s">
        <v>750</v>
      </c>
      <c r="E368" s="16" t="s">
        <v>26</v>
      </c>
      <c r="F368" s="17"/>
      <c r="G368" cm="1">
        <f t="array" ref="G368">IFERROR(_xlfn.XLOOKUP(Pedido891011121412131617181921192223[[#This Row],[Id de Producto]],[1]!Precios[[#All],[Id de Producto]],[1]!Precios[[#All],[Coste estándar]])*Pedido891011121412131617181921192223[[#This Row],[Pedido]],0)</f>
        <v>0</v>
      </c>
      <c r="H368" s="18">
        <v>0</v>
      </c>
      <c r="I368" s="15" t="s">
        <v>441</v>
      </c>
      <c r="J368" s="1"/>
      <c r="K368" s="1"/>
      <c r="L368" s="1"/>
      <c r="M368" s="1"/>
      <c r="N368" s="1"/>
    </row>
    <row r="369" spans="1:14" hidden="1" x14ac:dyDescent="0.25">
      <c r="A369" s="1"/>
      <c r="B369" s="16" t="s">
        <v>441</v>
      </c>
      <c r="C369" s="15" t="s">
        <v>751</v>
      </c>
      <c r="D369" s="15" t="s">
        <v>752</v>
      </c>
      <c r="E369" s="16" t="s">
        <v>22</v>
      </c>
      <c r="F369" s="17"/>
      <c r="G369" cm="1">
        <f t="array" ref="G369">IFERROR(_xlfn.XLOOKUP(Pedido891011121412131617181921192223[[#This Row],[Id de Producto]],[1]!Precios[[#All],[Id de Producto]],[1]!Precios[[#All],[Coste estándar]])*Pedido891011121412131617181921192223[[#This Row],[Pedido]],0)</f>
        <v>0</v>
      </c>
      <c r="H369" s="18">
        <v>0</v>
      </c>
      <c r="I369" s="15" t="s">
        <v>441</v>
      </c>
      <c r="J369" s="1"/>
      <c r="K369" s="1"/>
      <c r="L369" s="1"/>
      <c r="M369" s="1"/>
      <c r="N369" s="1"/>
    </row>
    <row r="370" spans="1:14" hidden="1" x14ac:dyDescent="0.25">
      <c r="A370" s="1"/>
      <c r="B370" s="15" t="s">
        <v>441</v>
      </c>
      <c r="C370" s="15" t="s">
        <v>753</v>
      </c>
      <c r="D370" s="15" t="s">
        <v>754</v>
      </c>
      <c r="E370" s="15" t="s">
        <v>26</v>
      </c>
      <c r="F370" s="17"/>
      <c r="G370" cm="1">
        <f t="array" ref="G370">IFERROR(_xlfn.XLOOKUP(Pedido891011121412131617181921192223[[#This Row],[Id de Producto]],[1]!Precios[[#All],[Id de Producto]],[1]!Precios[[#All],[Coste estándar]])*Pedido891011121412131617181921192223[[#This Row],[Pedido]],0)</f>
        <v>0</v>
      </c>
      <c r="H370" s="18">
        <v>0</v>
      </c>
      <c r="I370" s="15" t="s">
        <v>441</v>
      </c>
      <c r="J370" s="1"/>
      <c r="K370" s="1"/>
      <c r="L370" s="1"/>
      <c r="M370" s="1"/>
      <c r="N370" s="1"/>
    </row>
    <row r="371" spans="1:14" hidden="1" x14ac:dyDescent="0.25">
      <c r="A371" s="1"/>
      <c r="B371" s="16" t="s">
        <v>441</v>
      </c>
      <c r="C371" s="15" t="s">
        <v>755</v>
      </c>
      <c r="D371" s="16" t="s">
        <v>756</v>
      </c>
      <c r="E371" s="16" t="s">
        <v>26</v>
      </c>
      <c r="F371" s="17"/>
      <c r="G371" cm="1">
        <f t="array" ref="G371">IFERROR(_xlfn.XLOOKUP(Pedido891011121412131617181921192223[[#This Row],[Id de Producto]],[1]!Precios[[#All],[Id de Producto]],[1]!Precios[[#All],[Coste estándar]])*Pedido891011121412131617181921192223[[#This Row],[Pedido]],0)</f>
        <v>0</v>
      </c>
      <c r="H371" s="18">
        <v>0</v>
      </c>
      <c r="I371" s="15" t="s">
        <v>441</v>
      </c>
      <c r="J371" s="1"/>
      <c r="K371" s="1"/>
      <c r="L371" s="1"/>
      <c r="M371" s="1"/>
      <c r="N371" s="1"/>
    </row>
    <row r="372" spans="1:14" hidden="1" x14ac:dyDescent="0.25">
      <c r="A372" s="1"/>
      <c r="B372" s="16" t="s">
        <v>441</v>
      </c>
      <c r="C372" s="15" t="s">
        <v>757</v>
      </c>
      <c r="D372" s="15" t="s">
        <v>758</v>
      </c>
      <c r="E372" s="16" t="s">
        <v>26</v>
      </c>
      <c r="F372" s="17"/>
      <c r="G372" cm="1">
        <f t="array" ref="G372">IFERROR(_xlfn.XLOOKUP(Pedido891011121412131617181921192223[[#This Row],[Id de Producto]],[1]!Precios[[#All],[Id de Producto]],[1]!Precios[[#All],[Coste estándar]])*Pedido891011121412131617181921192223[[#This Row],[Pedido]],0)</f>
        <v>0</v>
      </c>
      <c r="H372" s="18">
        <v>0</v>
      </c>
      <c r="I372" s="15" t="s">
        <v>441</v>
      </c>
      <c r="J372" s="1"/>
      <c r="K372" s="1"/>
      <c r="L372" s="1"/>
      <c r="M372" s="1"/>
      <c r="N372" s="1"/>
    </row>
    <row r="373" spans="1:14" hidden="1" x14ac:dyDescent="0.25">
      <c r="A373" s="1"/>
      <c r="B373" s="16" t="s">
        <v>441</v>
      </c>
      <c r="C373" s="15" t="s">
        <v>759</v>
      </c>
      <c r="D373" s="15" t="s">
        <v>760</v>
      </c>
      <c r="E373" s="16" t="s">
        <v>26</v>
      </c>
      <c r="F373" s="17"/>
      <c r="G373" cm="1">
        <f t="array" ref="G373">IFERROR(_xlfn.XLOOKUP(Pedido891011121412131617181921192223[[#This Row],[Id de Producto]],[1]!Precios[[#All],[Id de Producto]],[1]!Precios[[#All],[Coste estándar]])*Pedido891011121412131617181921192223[[#This Row],[Pedido]],0)</f>
        <v>0</v>
      </c>
      <c r="H373" s="18">
        <v>0</v>
      </c>
      <c r="I373" s="15" t="s">
        <v>441</v>
      </c>
      <c r="J373" s="1"/>
      <c r="K373" s="1"/>
      <c r="L373" s="1"/>
      <c r="M373" s="1"/>
      <c r="N373" s="1"/>
    </row>
    <row r="374" spans="1:14" hidden="1" x14ac:dyDescent="0.25">
      <c r="A374" s="1"/>
      <c r="B374" s="16" t="s">
        <v>458</v>
      </c>
      <c r="C374" s="15" t="s">
        <v>761</v>
      </c>
      <c r="D374" s="15" t="s">
        <v>762</v>
      </c>
      <c r="E374" s="16" t="s">
        <v>26</v>
      </c>
      <c r="F374" s="17"/>
      <c r="G374" cm="1">
        <f t="array" ref="G374">IFERROR(_xlfn.XLOOKUP(Pedido891011121412131617181921192223[[#This Row],[Id de Producto]],[1]!Precios[[#All],[Id de Producto]],[1]!Precios[[#All],[Coste estándar]])*Pedido891011121412131617181921192223[[#This Row],[Pedido]],0)</f>
        <v>0</v>
      </c>
      <c r="H374" s="18">
        <v>0</v>
      </c>
      <c r="I374" s="16" t="s">
        <v>458</v>
      </c>
      <c r="J374" s="1"/>
      <c r="K374" s="1"/>
      <c r="L374" s="1"/>
      <c r="M374" s="1"/>
      <c r="N374" s="1"/>
    </row>
    <row r="375" spans="1:14" hidden="1" x14ac:dyDescent="0.25">
      <c r="A375" s="1"/>
      <c r="B375" s="16" t="s">
        <v>255</v>
      </c>
      <c r="C375" s="15" t="s">
        <v>763</v>
      </c>
      <c r="D375" s="15" t="s">
        <v>764</v>
      </c>
      <c r="E375" s="16" t="s">
        <v>18</v>
      </c>
      <c r="F375" s="17"/>
      <c r="G375" cm="1">
        <f t="array" ref="G375">IFERROR(_xlfn.XLOOKUP(Pedido891011121412131617181921192223[[#This Row],[Id de Producto]],[1]!Precios[[#All],[Id de Producto]],[1]!Precios[[#All],[Coste estándar]])*Pedido891011121412131617181921192223[[#This Row],[Pedido]],0)</f>
        <v>0</v>
      </c>
      <c r="H375" s="18">
        <v>0</v>
      </c>
      <c r="I375" s="16" t="s">
        <v>255</v>
      </c>
      <c r="J375" s="1"/>
      <c r="K375" s="1"/>
      <c r="L375" s="1"/>
      <c r="M375" s="1"/>
      <c r="N375" s="1"/>
    </row>
    <row r="376" spans="1:14" hidden="1" x14ac:dyDescent="0.25">
      <c r="A376" s="1"/>
      <c r="B376" s="16" t="s">
        <v>458</v>
      </c>
      <c r="C376" s="15" t="s">
        <v>765</v>
      </c>
      <c r="D376" s="15" t="s">
        <v>766</v>
      </c>
      <c r="E376" s="16" t="s">
        <v>22</v>
      </c>
      <c r="F376" s="17"/>
      <c r="G376" cm="1">
        <f t="array" ref="G376">IFERROR(_xlfn.XLOOKUP(Pedido891011121412131617181921192223[[#This Row],[Id de Producto]],[1]!Precios[[#All],[Id de Producto]],[1]!Precios[[#All],[Coste estándar]])*Pedido891011121412131617181921192223[[#This Row],[Pedido]],0)</f>
        <v>0</v>
      </c>
      <c r="H376" s="18">
        <v>0</v>
      </c>
      <c r="I376" s="16" t="s">
        <v>458</v>
      </c>
      <c r="J376" s="1"/>
      <c r="K376" s="1"/>
      <c r="L376" s="1"/>
      <c r="M376" s="1"/>
      <c r="N376" s="1"/>
    </row>
    <row r="377" spans="1:14" hidden="1" x14ac:dyDescent="0.25">
      <c r="A377" s="1"/>
      <c r="B377" s="15" t="s">
        <v>441</v>
      </c>
      <c r="C377" s="15" t="s">
        <v>767</v>
      </c>
      <c r="D377" s="15" t="s">
        <v>768</v>
      </c>
      <c r="E377" s="16" t="s">
        <v>26</v>
      </c>
      <c r="F377" s="17"/>
      <c r="G377" cm="1">
        <f t="array" ref="G377">IFERROR(_xlfn.XLOOKUP(Pedido891011121412131617181921192223[[#This Row],[Id de Producto]],[1]!Precios[[#All],[Id de Producto]],[1]!Precios[[#All],[Coste estándar]])*Pedido891011121412131617181921192223[[#This Row],[Pedido]],0)</f>
        <v>0</v>
      </c>
      <c r="H377" s="15">
        <v>0</v>
      </c>
      <c r="I377" s="15" t="s">
        <v>441</v>
      </c>
      <c r="J377" s="1"/>
      <c r="K377" s="1"/>
      <c r="L377" s="1"/>
      <c r="M377" s="1"/>
      <c r="N377" s="1"/>
    </row>
    <row r="378" spans="1:14" hidden="1" x14ac:dyDescent="0.25">
      <c r="A378" s="1"/>
      <c r="B378" s="16" t="s">
        <v>441</v>
      </c>
      <c r="C378" s="15" t="s">
        <v>769</v>
      </c>
      <c r="D378" s="15" t="s">
        <v>770</v>
      </c>
      <c r="E378" s="16" t="s">
        <v>26</v>
      </c>
      <c r="F378" s="17"/>
      <c r="G378" cm="1">
        <f t="array" ref="G378">IFERROR(_xlfn.XLOOKUP(Pedido891011121412131617181921192223[[#This Row],[Id de Producto]],[1]!Precios[[#All],[Id de Producto]],[1]!Precios[[#All],[Coste estándar]])*Pedido891011121412131617181921192223[[#This Row],[Pedido]],0)</f>
        <v>0</v>
      </c>
      <c r="H378" s="18">
        <v>0</v>
      </c>
      <c r="I378" s="15" t="s">
        <v>441</v>
      </c>
      <c r="J378" s="1"/>
      <c r="K378" s="1"/>
      <c r="L378" s="1"/>
      <c r="M378" s="1"/>
      <c r="N378" s="1"/>
    </row>
    <row r="379" spans="1:14" hidden="1" x14ac:dyDescent="0.25">
      <c r="A379" s="1"/>
      <c r="B379" s="16" t="s">
        <v>458</v>
      </c>
      <c r="C379" s="15" t="s">
        <v>771</v>
      </c>
      <c r="D379" s="15" t="s">
        <v>772</v>
      </c>
      <c r="E379" s="16" t="s">
        <v>22</v>
      </c>
      <c r="F379" s="17"/>
      <c r="G379" cm="1">
        <f t="array" ref="G379">IFERROR(_xlfn.XLOOKUP(Pedido891011121412131617181921192223[[#This Row],[Id de Producto]],[1]!Precios[[#All],[Id de Producto]],[1]!Precios[[#All],[Coste estándar]])*Pedido891011121412131617181921192223[[#This Row],[Pedido]],0)</f>
        <v>0</v>
      </c>
      <c r="H379" s="18">
        <v>0</v>
      </c>
      <c r="I379" s="16" t="s">
        <v>458</v>
      </c>
      <c r="J379" s="1"/>
      <c r="K379" s="1"/>
      <c r="L379" s="1"/>
      <c r="M379" s="1"/>
      <c r="N379" s="1"/>
    </row>
    <row r="380" spans="1:14" hidden="1" x14ac:dyDescent="0.25">
      <c r="A380" s="1"/>
      <c r="B380" s="15" t="s">
        <v>441</v>
      </c>
      <c r="C380" s="15" t="s">
        <v>773</v>
      </c>
      <c r="D380" s="15" t="s">
        <v>774</v>
      </c>
      <c r="E380" s="16" t="s">
        <v>258</v>
      </c>
      <c r="F380" s="17"/>
      <c r="G380" cm="1">
        <f t="array" ref="G380">IFERROR(_xlfn.XLOOKUP(Pedido891011121412131617181921192223[[#This Row],[Id de Producto]],[1]!Precios[[#All],[Id de Producto]],[1]!Precios[[#All],[Coste estándar]])*Pedido891011121412131617181921192223[[#This Row],[Pedido]],0)</f>
        <v>0</v>
      </c>
      <c r="H380" s="15">
        <v>0</v>
      </c>
      <c r="I380" s="15" t="s">
        <v>441</v>
      </c>
      <c r="J380" s="1"/>
      <c r="K380" s="1"/>
      <c r="L380" s="1"/>
      <c r="M380" s="1"/>
      <c r="N380" s="1"/>
    </row>
    <row r="381" spans="1:14" hidden="1" x14ac:dyDescent="0.25">
      <c r="A381" s="1"/>
      <c r="B381" s="16" t="s">
        <v>458</v>
      </c>
      <c r="C381" s="15" t="s">
        <v>775</v>
      </c>
      <c r="D381" s="15" t="s">
        <v>776</v>
      </c>
      <c r="E381" s="16" t="s">
        <v>22</v>
      </c>
      <c r="F381" s="17"/>
      <c r="G381" cm="1">
        <f t="array" ref="G381">IFERROR(_xlfn.XLOOKUP(Pedido891011121412131617181921192223[[#This Row],[Id de Producto]],[1]!Precios[[#All],[Id de Producto]],[1]!Precios[[#All],[Coste estándar]])*Pedido891011121412131617181921192223[[#This Row],[Pedido]],0)</f>
        <v>0</v>
      </c>
      <c r="H381" s="18">
        <v>0</v>
      </c>
      <c r="I381" s="16" t="s">
        <v>458</v>
      </c>
      <c r="J381" s="1"/>
      <c r="K381" s="1"/>
      <c r="L381" s="1"/>
      <c r="M381" s="1"/>
      <c r="N381" s="1"/>
    </row>
    <row r="382" spans="1:14" hidden="1" x14ac:dyDescent="0.25">
      <c r="A382" s="1"/>
      <c r="B382" s="16" t="s">
        <v>458</v>
      </c>
      <c r="C382" s="15" t="s">
        <v>777</v>
      </c>
      <c r="D382" s="15" t="s">
        <v>778</v>
      </c>
      <c r="E382" s="16" t="s">
        <v>22</v>
      </c>
      <c r="F382" s="17"/>
      <c r="G382" cm="1">
        <f t="array" ref="G382">IFERROR(_xlfn.XLOOKUP(Pedido891011121412131617181921192223[[#This Row],[Id de Producto]],[1]!Precios[[#All],[Id de Producto]],[1]!Precios[[#All],[Coste estándar]])*Pedido891011121412131617181921192223[[#This Row],[Pedido]],0)</f>
        <v>0</v>
      </c>
      <c r="H382" s="18">
        <v>0</v>
      </c>
      <c r="I382" s="16" t="s">
        <v>458</v>
      </c>
      <c r="J382" s="1"/>
      <c r="K382" s="1"/>
      <c r="L382" s="1"/>
      <c r="M382" s="1"/>
      <c r="N382" s="1"/>
    </row>
    <row r="383" spans="1:14" hidden="1" x14ac:dyDescent="0.25">
      <c r="A383" s="1"/>
      <c r="B383" s="15" t="s">
        <v>441</v>
      </c>
      <c r="C383" s="15" t="s">
        <v>779</v>
      </c>
      <c r="D383" s="15" t="s">
        <v>780</v>
      </c>
      <c r="E383" s="16" t="s">
        <v>26</v>
      </c>
      <c r="F383" s="17"/>
      <c r="G383" cm="1">
        <f t="array" ref="G383">IFERROR(_xlfn.XLOOKUP(Pedido891011121412131617181921192223[[#This Row],[Id de Producto]],[1]!Precios[[#All],[Id de Producto]],[1]!Precios[[#All],[Coste estándar]])*Pedido891011121412131617181921192223[[#This Row],[Pedido]],0)</f>
        <v>0</v>
      </c>
      <c r="H383" s="15">
        <v>0</v>
      </c>
      <c r="I383" s="15" t="s">
        <v>441</v>
      </c>
      <c r="J383" s="1"/>
      <c r="K383" s="1"/>
      <c r="L383" s="1"/>
      <c r="M383" s="1"/>
      <c r="N383" s="1"/>
    </row>
    <row r="384" spans="1:14" hidden="1" x14ac:dyDescent="0.25">
      <c r="A384" s="1"/>
      <c r="B384" s="15" t="s">
        <v>781</v>
      </c>
      <c r="C384" s="15" t="s">
        <v>782</v>
      </c>
      <c r="D384" s="15" t="s">
        <v>783</v>
      </c>
      <c r="E384" s="15" t="s">
        <v>26</v>
      </c>
      <c r="F384" s="17"/>
      <c r="G384" cm="1">
        <f t="array" ref="G384">IFERROR(_xlfn.XLOOKUP(Pedido891011121412131617181921192223[[#This Row],[Id de Producto]],[1]!Precios[[#All],[Id de Producto]],[1]!Precios[[#All],[Coste estándar]])*Pedido891011121412131617181921192223[[#This Row],[Pedido]],0)</f>
        <v>0</v>
      </c>
      <c r="H384" s="15">
        <v>0</v>
      </c>
      <c r="I384" s="15" t="s">
        <v>781</v>
      </c>
      <c r="J384" s="1"/>
      <c r="K384" s="1"/>
      <c r="L384" s="1"/>
      <c r="M384" s="1"/>
      <c r="N384" s="1"/>
    </row>
    <row r="385" spans="1:14" hidden="1" x14ac:dyDescent="0.25">
      <c r="A385" s="1"/>
      <c r="B385" s="15" t="s">
        <v>784</v>
      </c>
      <c r="C385" s="15" t="s">
        <v>785</v>
      </c>
      <c r="D385" s="15" t="s">
        <v>786</v>
      </c>
      <c r="E385" s="16" t="s">
        <v>26</v>
      </c>
      <c r="F385" s="17"/>
      <c r="G385" cm="1">
        <f t="array" ref="G385">IFERROR(_xlfn.XLOOKUP(Pedido891011121412131617181921192223[[#This Row],[Id de Producto]],[1]!Precios[[#All],[Id de Producto]],[1]!Precios[[#All],[Coste estándar]])*Pedido891011121412131617181921192223[[#This Row],[Pedido]],0)</f>
        <v>0</v>
      </c>
      <c r="H385" s="15">
        <v>0</v>
      </c>
      <c r="I385" s="15" t="s">
        <v>23</v>
      </c>
      <c r="J385" s="1"/>
      <c r="K385" s="1"/>
      <c r="L385" s="1"/>
      <c r="M385" s="1"/>
      <c r="N385" s="1"/>
    </row>
    <row r="386" spans="1:14" hidden="1" x14ac:dyDescent="0.25">
      <c r="A386" s="1"/>
      <c r="B386" s="15" t="s">
        <v>784</v>
      </c>
      <c r="C386" s="15" t="s">
        <v>787</v>
      </c>
      <c r="D386" s="15" t="s">
        <v>788</v>
      </c>
      <c r="E386" s="16" t="s">
        <v>26</v>
      </c>
      <c r="F386" s="17"/>
      <c r="G386" cm="1">
        <f t="array" ref="G386">IFERROR(_xlfn.XLOOKUP(Pedido891011121412131617181921192223[[#This Row],[Id de Producto]],[1]!Precios[[#All],[Id de Producto]],[1]!Precios[[#All],[Coste estándar]])*Pedido891011121412131617181921192223[[#This Row],[Pedido]],0)</f>
        <v>0</v>
      </c>
      <c r="H386" s="15">
        <v>0</v>
      </c>
      <c r="I386" s="15" t="s">
        <v>23</v>
      </c>
      <c r="J386" s="1"/>
      <c r="K386" s="1"/>
      <c r="L386" s="1"/>
      <c r="M386" s="1"/>
      <c r="N386" s="1"/>
    </row>
    <row r="387" spans="1:14" hidden="1" x14ac:dyDescent="0.25">
      <c r="A387" s="1"/>
      <c r="B387" s="15" t="s">
        <v>121</v>
      </c>
      <c r="C387" s="15" t="s">
        <v>789</v>
      </c>
      <c r="D387" s="15" t="s">
        <v>790</v>
      </c>
      <c r="E387" s="16" t="s">
        <v>26</v>
      </c>
      <c r="F387" s="17"/>
      <c r="G387" cm="1">
        <f t="array" ref="G387">IFERROR(_xlfn.XLOOKUP(Pedido891011121412131617181921192223[[#This Row],[Id de Producto]],[1]!Precios[[#All],[Id de Producto]],[1]!Precios[[#All],[Coste estándar]])*Pedido891011121412131617181921192223[[#This Row],[Pedido]],0)</f>
        <v>0</v>
      </c>
      <c r="H387" s="15">
        <v>0</v>
      </c>
      <c r="I387" s="15" t="s">
        <v>121</v>
      </c>
      <c r="J387" s="1"/>
      <c r="K387" s="1"/>
      <c r="L387" s="1"/>
      <c r="M387" s="1"/>
      <c r="N387" s="1"/>
    </row>
    <row r="388" spans="1:14" hidden="1" x14ac:dyDescent="0.25">
      <c r="A388" s="1"/>
      <c r="B388" s="15" t="s">
        <v>784</v>
      </c>
      <c r="C388" s="15" t="s">
        <v>791</v>
      </c>
      <c r="D388" s="15" t="s">
        <v>792</v>
      </c>
      <c r="E388" s="16" t="s">
        <v>26</v>
      </c>
      <c r="F388" s="17"/>
      <c r="G388" cm="1">
        <f t="array" ref="G388">IFERROR(_xlfn.XLOOKUP(Pedido891011121412131617181921192223[[#This Row],[Id de Producto]],[1]!Precios[[#All],[Id de Producto]],[1]!Precios[[#All],[Coste estándar]])*Pedido891011121412131617181921192223[[#This Row],[Pedido]],0)</f>
        <v>0</v>
      </c>
      <c r="H388" s="15">
        <v>0</v>
      </c>
      <c r="I388" s="15" t="s">
        <v>23</v>
      </c>
      <c r="J388" s="1"/>
      <c r="K388" s="1"/>
      <c r="L388" s="1"/>
      <c r="M388" s="1"/>
      <c r="N388" s="1"/>
    </row>
    <row r="389" spans="1:14" hidden="1" x14ac:dyDescent="0.25">
      <c r="A389" s="1"/>
      <c r="B389" s="16" t="s">
        <v>784</v>
      </c>
      <c r="C389" s="15" t="s">
        <v>793</v>
      </c>
      <c r="D389" s="15" t="s">
        <v>794</v>
      </c>
      <c r="E389" s="16" t="s">
        <v>26</v>
      </c>
      <c r="F389" s="17"/>
      <c r="G389" cm="1">
        <f t="array" ref="G389">IFERROR(_xlfn.XLOOKUP(Pedido891011121412131617181921192223[[#This Row],[Id de Producto]],[1]!Precios[[#All],[Id de Producto]],[1]!Precios[[#All],[Coste estándar]])*Pedido891011121412131617181921192223[[#This Row],[Pedido]],0)</f>
        <v>0</v>
      </c>
      <c r="H389" s="18">
        <v>0</v>
      </c>
      <c r="I389" s="16" t="s">
        <v>23</v>
      </c>
      <c r="J389" s="1"/>
      <c r="K389" s="1"/>
      <c r="L389" s="1"/>
      <c r="M389" s="1"/>
      <c r="N389" s="1"/>
    </row>
    <row r="390" spans="1:14" hidden="1" x14ac:dyDescent="0.25">
      <c r="A390" s="1"/>
      <c r="B390" s="16" t="s">
        <v>784</v>
      </c>
      <c r="C390" s="15" t="s">
        <v>795</v>
      </c>
      <c r="D390" s="15" t="s">
        <v>796</v>
      </c>
      <c r="E390" s="16" t="s">
        <v>26</v>
      </c>
      <c r="F390" s="17"/>
      <c r="G390" cm="1">
        <f t="array" ref="G390">IFERROR(_xlfn.XLOOKUP(Pedido891011121412131617181921192223[[#This Row],[Id de Producto]],[1]!Precios[[#All],[Id de Producto]],[1]!Precios[[#All],[Coste estándar]])*Pedido891011121412131617181921192223[[#This Row],[Pedido]],0)</f>
        <v>0</v>
      </c>
      <c r="H390" s="18">
        <v>0</v>
      </c>
      <c r="I390" s="16" t="s">
        <v>23</v>
      </c>
      <c r="J390" s="1"/>
      <c r="K390" s="1"/>
      <c r="L390" s="1"/>
      <c r="M390" s="1"/>
      <c r="N390" s="1"/>
    </row>
    <row r="391" spans="1:14" x14ac:dyDescent="0.25">
      <c r="A391" s="1"/>
      <c r="B391" s="15" t="s">
        <v>15</v>
      </c>
      <c r="C391" s="15" t="s">
        <v>797</v>
      </c>
      <c r="D391" s="15" t="s">
        <v>798</v>
      </c>
      <c r="E391" s="16" t="s">
        <v>26</v>
      </c>
      <c r="F391" s="17"/>
      <c r="G391" cm="1">
        <f t="array" ref="G391">IFERROR(_xlfn.XLOOKUP(Pedido891011121412131617181921192223[[#This Row],[Id de Producto]],[1]!Precios[[#All],[Id de Producto]],[1]!Precios[[#All],[Coste estándar]])*Pedido891011121412131617181921192223[[#This Row],[Pedido]],0)</f>
        <v>0</v>
      </c>
      <c r="H391" s="15">
        <v>0</v>
      </c>
      <c r="I391" s="15" t="s">
        <v>15</v>
      </c>
      <c r="J391" s="1"/>
      <c r="K391" s="1"/>
      <c r="L391" s="1"/>
      <c r="M391" s="1"/>
      <c r="N391" s="1"/>
    </row>
    <row r="392" spans="1:14" hidden="1" x14ac:dyDescent="0.25">
      <c r="A392" s="1"/>
      <c r="B392" s="15" t="s">
        <v>784</v>
      </c>
      <c r="C392" s="15" t="s">
        <v>799</v>
      </c>
      <c r="D392" s="15" t="s">
        <v>800</v>
      </c>
      <c r="E392" s="16" t="s">
        <v>26</v>
      </c>
      <c r="F392" s="17"/>
      <c r="G392" cm="1">
        <f t="array" ref="G392">IFERROR(_xlfn.XLOOKUP(Pedido891011121412131617181921192223[[#This Row],[Id de Producto]],[1]!Precios[[#All],[Id de Producto]],[1]!Precios[[#All],[Coste estándar]])*Pedido891011121412131617181921192223[[#This Row],[Pedido]],0)</f>
        <v>0</v>
      </c>
      <c r="H392" s="15">
        <v>0</v>
      </c>
      <c r="I392" s="15" t="s">
        <v>23</v>
      </c>
      <c r="J392" s="1"/>
      <c r="K392" s="1"/>
      <c r="L392" s="1"/>
      <c r="M392" s="1"/>
      <c r="N392" s="1"/>
    </row>
    <row r="393" spans="1:14" hidden="1" x14ac:dyDescent="0.25">
      <c r="A393" s="1"/>
      <c r="B393" s="15" t="s">
        <v>102</v>
      </c>
      <c r="C393" s="15" t="s">
        <v>801</v>
      </c>
      <c r="D393" s="15" t="s">
        <v>802</v>
      </c>
      <c r="E393" s="16" t="s">
        <v>26</v>
      </c>
      <c r="F393" s="17"/>
      <c r="G393" cm="1">
        <f t="array" ref="G393">IFERROR(_xlfn.XLOOKUP(Pedido891011121412131617181921192223[[#This Row],[Id de Producto]],[1]!Precios[[#All],[Id de Producto]],[1]!Precios[[#All],[Coste estándar]])*Pedido891011121412131617181921192223[[#This Row],[Pedido]],0)</f>
        <v>0</v>
      </c>
      <c r="H393" s="15">
        <v>0</v>
      </c>
      <c r="I393" s="15" t="s">
        <v>102</v>
      </c>
      <c r="J393" s="1"/>
      <c r="K393" s="1"/>
      <c r="L393" s="1"/>
      <c r="M393" s="1"/>
      <c r="N393" s="1"/>
    </row>
    <row r="394" spans="1:14" hidden="1" x14ac:dyDescent="0.25">
      <c r="A394" s="1"/>
      <c r="B394" s="15" t="s">
        <v>102</v>
      </c>
      <c r="C394" s="15" t="s">
        <v>803</v>
      </c>
      <c r="D394" s="15" t="s">
        <v>804</v>
      </c>
      <c r="E394" s="16" t="s">
        <v>26</v>
      </c>
      <c r="F394" s="17"/>
      <c r="G394" cm="1">
        <f t="array" ref="G394">IFERROR(_xlfn.XLOOKUP(Pedido891011121412131617181921192223[[#This Row],[Id de Producto]],[1]!Precios[[#All],[Id de Producto]],[1]!Precios[[#All],[Coste estándar]])*Pedido891011121412131617181921192223[[#This Row],[Pedido]],0)</f>
        <v>0</v>
      </c>
      <c r="H394" s="15">
        <v>0</v>
      </c>
      <c r="I394" s="15" t="s">
        <v>102</v>
      </c>
      <c r="J394" s="1"/>
      <c r="K394" s="1"/>
      <c r="L394" s="1"/>
      <c r="M394" s="1"/>
      <c r="N394" s="1"/>
    </row>
    <row r="395" spans="1:14" hidden="1" x14ac:dyDescent="0.25">
      <c r="A395" s="1"/>
      <c r="B395" s="15" t="s">
        <v>102</v>
      </c>
      <c r="C395" s="15" t="s">
        <v>805</v>
      </c>
      <c r="D395" s="15" t="s">
        <v>806</v>
      </c>
      <c r="E395" s="16" t="s">
        <v>26</v>
      </c>
      <c r="F395" s="17"/>
      <c r="G395" cm="1">
        <f t="array" ref="G395">IFERROR(_xlfn.XLOOKUP(Pedido891011121412131617181921192223[[#This Row],[Id de Producto]],[1]!Precios[[#All],[Id de Producto]],[1]!Precios[[#All],[Coste estándar]])*Pedido891011121412131617181921192223[[#This Row],[Pedido]],0)</f>
        <v>0</v>
      </c>
      <c r="H395" s="15">
        <v>0</v>
      </c>
      <c r="I395" s="15" t="s">
        <v>102</v>
      </c>
      <c r="J395" s="1"/>
      <c r="K395" s="1"/>
      <c r="L395" s="1"/>
      <c r="M395" s="1"/>
      <c r="N395" s="1"/>
    </row>
    <row r="396" spans="1:14" hidden="1" x14ac:dyDescent="0.25">
      <c r="A396" s="1"/>
      <c r="B396" s="15" t="s">
        <v>102</v>
      </c>
      <c r="C396" s="15" t="s">
        <v>807</v>
      </c>
      <c r="D396" s="15" t="s">
        <v>808</v>
      </c>
      <c r="E396" s="16" t="s">
        <v>26</v>
      </c>
      <c r="F396" s="17"/>
      <c r="G396" cm="1">
        <f t="array" ref="G396">IFERROR(_xlfn.XLOOKUP(Pedido891011121412131617181921192223[[#This Row],[Id de Producto]],[1]!Precios[[#All],[Id de Producto]],[1]!Precios[[#All],[Coste estándar]])*Pedido891011121412131617181921192223[[#This Row],[Pedido]],0)</f>
        <v>0</v>
      </c>
      <c r="H396" s="15">
        <v>0</v>
      </c>
      <c r="I396" s="15" t="s">
        <v>102</v>
      </c>
      <c r="J396" s="1"/>
      <c r="K396" s="1"/>
      <c r="L396" s="1"/>
      <c r="M396" s="1"/>
      <c r="N396" s="1"/>
    </row>
    <row r="397" spans="1:14" hidden="1" x14ac:dyDescent="0.25">
      <c r="A397" s="1"/>
      <c r="B397" s="15" t="s">
        <v>102</v>
      </c>
      <c r="C397" s="15" t="s">
        <v>809</v>
      </c>
      <c r="D397" s="15" t="s">
        <v>810</v>
      </c>
      <c r="E397" s="16" t="s">
        <v>26</v>
      </c>
      <c r="F397" s="17"/>
      <c r="G397" cm="1">
        <f t="array" ref="G397">IFERROR(_xlfn.XLOOKUP(Pedido891011121412131617181921192223[[#This Row],[Id de Producto]],[1]!Precios[[#All],[Id de Producto]],[1]!Precios[[#All],[Coste estándar]])*Pedido891011121412131617181921192223[[#This Row],[Pedido]],0)</f>
        <v>0</v>
      </c>
      <c r="H397" s="15">
        <v>0</v>
      </c>
      <c r="I397" s="15" t="s">
        <v>102</v>
      </c>
      <c r="J397" s="1"/>
      <c r="K397" s="1"/>
      <c r="L397" s="1"/>
      <c r="M397" s="1"/>
      <c r="N397" s="1"/>
    </row>
    <row r="398" spans="1:14" hidden="1" x14ac:dyDescent="0.25">
      <c r="A398" s="1"/>
      <c r="B398" s="15" t="s">
        <v>102</v>
      </c>
      <c r="C398" s="15" t="s">
        <v>811</v>
      </c>
      <c r="D398" s="15" t="s">
        <v>812</v>
      </c>
      <c r="E398" s="16" t="s">
        <v>26</v>
      </c>
      <c r="F398" s="17"/>
      <c r="G398" cm="1">
        <f t="array" ref="G398">IFERROR(_xlfn.XLOOKUP(Pedido891011121412131617181921192223[[#This Row],[Id de Producto]],[1]!Precios[[#All],[Id de Producto]],[1]!Precios[[#All],[Coste estándar]])*Pedido891011121412131617181921192223[[#This Row],[Pedido]],0)</f>
        <v>0</v>
      </c>
      <c r="H398" s="15">
        <v>0</v>
      </c>
      <c r="I398" s="15" t="s">
        <v>102</v>
      </c>
      <c r="J398" s="1"/>
      <c r="K398" s="1"/>
      <c r="L398" s="1"/>
      <c r="M398" s="1"/>
      <c r="N398" s="1"/>
    </row>
    <row r="399" spans="1:14" hidden="1" x14ac:dyDescent="0.25">
      <c r="A399" s="1"/>
      <c r="B399" s="15" t="s">
        <v>784</v>
      </c>
      <c r="C399" s="15" t="s">
        <v>813</v>
      </c>
      <c r="D399" s="15" t="s">
        <v>814</v>
      </c>
      <c r="E399" s="16" t="s">
        <v>26</v>
      </c>
      <c r="F399" s="17"/>
      <c r="G399" cm="1">
        <f t="array" ref="G399">IFERROR(_xlfn.XLOOKUP(Pedido891011121412131617181921192223[[#This Row],[Id de Producto]],[1]!Precios[[#All],[Id de Producto]],[1]!Precios[[#All],[Coste estándar]])*Pedido891011121412131617181921192223[[#This Row],[Pedido]],0)</f>
        <v>0</v>
      </c>
      <c r="H399" s="15">
        <v>0</v>
      </c>
      <c r="I399" s="15" t="s">
        <v>23</v>
      </c>
      <c r="J399" s="1"/>
      <c r="K399" s="1"/>
      <c r="L399" s="1"/>
      <c r="M399" s="1"/>
      <c r="N399" s="1"/>
    </row>
    <row r="400" spans="1:14" hidden="1" x14ac:dyDescent="0.25">
      <c r="A400" s="1"/>
      <c r="B400" s="15" t="s">
        <v>784</v>
      </c>
      <c r="C400" s="15" t="s">
        <v>815</v>
      </c>
      <c r="D400" s="15" t="s">
        <v>816</v>
      </c>
      <c r="E400" s="16" t="s">
        <v>26</v>
      </c>
      <c r="F400" s="17"/>
      <c r="G400" cm="1">
        <f t="array" ref="G400">IFERROR(_xlfn.XLOOKUP(Pedido891011121412131617181921192223[[#This Row],[Id de Producto]],[1]!Precios[[#All],[Id de Producto]],[1]!Precios[[#All],[Coste estándar]])*Pedido891011121412131617181921192223[[#This Row],[Pedido]],0)</f>
        <v>0</v>
      </c>
      <c r="H400" s="15">
        <v>0</v>
      </c>
      <c r="I400" s="15" t="s">
        <v>23</v>
      </c>
      <c r="J400" s="1"/>
      <c r="K400" s="1"/>
      <c r="L400" s="1"/>
      <c r="M400" s="1"/>
      <c r="N400" s="1"/>
    </row>
    <row r="401" spans="1:14" hidden="1" x14ac:dyDescent="0.25">
      <c r="A401" s="1"/>
      <c r="B401" s="15" t="s">
        <v>784</v>
      </c>
      <c r="C401" s="15" t="s">
        <v>817</v>
      </c>
      <c r="D401" s="15" t="s">
        <v>818</v>
      </c>
      <c r="E401" s="16" t="s">
        <v>26</v>
      </c>
      <c r="F401" s="17"/>
      <c r="G401" cm="1">
        <f t="array" ref="G401">IFERROR(_xlfn.XLOOKUP(Pedido891011121412131617181921192223[[#This Row],[Id de Producto]],[1]!Precios[[#All],[Id de Producto]],[1]!Precios[[#All],[Coste estándar]])*Pedido891011121412131617181921192223[[#This Row],[Pedido]],0)</f>
        <v>0</v>
      </c>
      <c r="H401" s="15">
        <v>0</v>
      </c>
      <c r="I401" s="15" t="s">
        <v>23</v>
      </c>
      <c r="J401" s="1"/>
      <c r="K401" s="1"/>
      <c r="L401" s="1"/>
      <c r="M401" s="1"/>
      <c r="N401" s="1"/>
    </row>
    <row r="402" spans="1:14" hidden="1" x14ac:dyDescent="0.25">
      <c r="A402" s="1"/>
      <c r="B402" s="15" t="s">
        <v>784</v>
      </c>
      <c r="C402" s="15" t="s">
        <v>819</v>
      </c>
      <c r="D402" s="15" t="s">
        <v>820</v>
      </c>
      <c r="E402" s="16" t="s">
        <v>26</v>
      </c>
      <c r="F402" s="17"/>
      <c r="G402" cm="1">
        <f t="array" ref="G402">IFERROR(_xlfn.XLOOKUP(Pedido891011121412131617181921192223[[#This Row],[Id de Producto]],[1]!Precios[[#All],[Id de Producto]],[1]!Precios[[#All],[Coste estándar]])*Pedido891011121412131617181921192223[[#This Row],[Pedido]],0)</f>
        <v>0</v>
      </c>
      <c r="H402" s="15">
        <v>0</v>
      </c>
      <c r="I402" s="15" t="s">
        <v>23</v>
      </c>
      <c r="J402" s="1"/>
      <c r="K402" s="1"/>
      <c r="L402" s="1"/>
      <c r="M402" s="1"/>
      <c r="N402" s="1"/>
    </row>
    <row r="403" spans="1:14" hidden="1" x14ac:dyDescent="0.25">
      <c r="A403" s="1"/>
      <c r="B403" s="15" t="s">
        <v>784</v>
      </c>
      <c r="C403" s="15" t="s">
        <v>821</v>
      </c>
      <c r="D403" s="15" t="s">
        <v>822</v>
      </c>
      <c r="E403" s="16" t="s">
        <v>26</v>
      </c>
      <c r="F403" s="17"/>
      <c r="G403" cm="1">
        <f t="array" ref="G403">IFERROR(_xlfn.XLOOKUP(Pedido891011121412131617181921192223[[#This Row],[Id de Producto]],[1]!Precios[[#All],[Id de Producto]],[1]!Precios[[#All],[Coste estándar]])*Pedido891011121412131617181921192223[[#This Row],[Pedido]],0)</f>
        <v>0</v>
      </c>
      <c r="H403" s="15">
        <v>0</v>
      </c>
      <c r="I403" s="15" t="s">
        <v>23</v>
      </c>
      <c r="J403" s="1"/>
      <c r="K403" s="1"/>
      <c r="L403" s="1"/>
      <c r="M403" s="1"/>
      <c r="N403" s="1"/>
    </row>
    <row r="404" spans="1:14" hidden="1" x14ac:dyDescent="0.25">
      <c r="A404" s="1"/>
      <c r="B404" s="15" t="s">
        <v>784</v>
      </c>
      <c r="C404" s="15" t="s">
        <v>823</v>
      </c>
      <c r="D404" s="15" t="s">
        <v>824</v>
      </c>
      <c r="E404" s="16" t="s">
        <v>26</v>
      </c>
      <c r="F404" s="17"/>
      <c r="G404" cm="1">
        <f t="array" ref="G404">IFERROR(_xlfn.XLOOKUP(Pedido891011121412131617181921192223[[#This Row],[Id de Producto]],[1]!Precios[[#All],[Id de Producto]],[1]!Precios[[#All],[Coste estándar]])*Pedido891011121412131617181921192223[[#This Row],[Pedido]],0)</f>
        <v>0</v>
      </c>
      <c r="H404" s="15">
        <v>0</v>
      </c>
      <c r="I404" s="15" t="s">
        <v>23</v>
      </c>
      <c r="J404" s="1"/>
      <c r="K404" s="1"/>
      <c r="L404" s="1"/>
      <c r="M404" s="1"/>
      <c r="N404" s="1"/>
    </row>
    <row r="405" spans="1:14" hidden="1" x14ac:dyDescent="0.25">
      <c r="A405" s="1"/>
      <c r="B405" s="16" t="s">
        <v>825</v>
      </c>
      <c r="C405" s="15" t="s">
        <v>826</v>
      </c>
      <c r="D405" s="15" t="s">
        <v>827</v>
      </c>
      <c r="E405" s="16" t="s">
        <v>26</v>
      </c>
      <c r="F405" s="17"/>
      <c r="G405" cm="1">
        <f t="array" ref="G405">IFERROR(_xlfn.XLOOKUP(Pedido891011121412131617181921192223[[#This Row],[Id de Producto]],[1]!Precios[[#All],[Id de Producto]],[1]!Precios[[#All],[Coste estándar]])*Pedido891011121412131617181921192223[[#This Row],[Pedido]],0)</f>
        <v>0</v>
      </c>
      <c r="H405" s="18">
        <v>0</v>
      </c>
      <c r="I405" s="16" t="s">
        <v>23</v>
      </c>
      <c r="J405" s="1"/>
      <c r="K405" s="1"/>
      <c r="L405" s="1"/>
      <c r="M405" s="1"/>
      <c r="N405" s="1"/>
    </row>
    <row r="406" spans="1:14" hidden="1" x14ac:dyDescent="0.25">
      <c r="A406" s="1"/>
      <c r="B406" s="16" t="s">
        <v>825</v>
      </c>
      <c r="C406" s="15" t="s">
        <v>828</v>
      </c>
      <c r="D406" s="15" t="s">
        <v>829</v>
      </c>
      <c r="E406" s="16" t="s">
        <v>26</v>
      </c>
      <c r="F406" s="17"/>
      <c r="G406" cm="1">
        <f t="array" ref="G406">IFERROR(_xlfn.XLOOKUP(Pedido891011121412131617181921192223[[#This Row],[Id de Producto]],[1]!Precios[[#All],[Id de Producto]],[1]!Precios[[#All],[Coste estándar]])*Pedido891011121412131617181921192223[[#This Row],[Pedido]],0)</f>
        <v>0</v>
      </c>
      <c r="H406" s="18">
        <v>0</v>
      </c>
      <c r="I406" s="16" t="s">
        <v>23</v>
      </c>
      <c r="J406" s="1"/>
      <c r="K406" s="1"/>
      <c r="L406" s="1"/>
      <c r="M406" s="1"/>
      <c r="N406" s="1"/>
    </row>
    <row r="407" spans="1:14" hidden="1" x14ac:dyDescent="0.25">
      <c r="A407" s="1"/>
      <c r="B407" s="15" t="s">
        <v>825</v>
      </c>
      <c r="C407" s="15" t="s">
        <v>830</v>
      </c>
      <c r="D407" s="15" t="s">
        <v>831</v>
      </c>
      <c r="E407" s="15" t="s">
        <v>26</v>
      </c>
      <c r="F407" s="17"/>
      <c r="G407" cm="1">
        <f t="array" ref="G407">IFERROR(_xlfn.XLOOKUP(Pedido891011121412131617181921192223[[#This Row],[Id de Producto]],[1]!Precios[[#All],[Id de Producto]],[1]!Precios[[#All],[Coste estándar]])*Pedido891011121412131617181921192223[[#This Row],[Pedido]],0)</f>
        <v>0</v>
      </c>
      <c r="H407" s="18">
        <v>0</v>
      </c>
      <c r="I407" s="16" t="s">
        <v>23</v>
      </c>
      <c r="J407" s="1"/>
      <c r="K407" s="1"/>
      <c r="L407" s="1"/>
      <c r="M407" s="1"/>
      <c r="N407" s="1"/>
    </row>
    <row r="408" spans="1:14" hidden="1" x14ac:dyDescent="0.25">
      <c r="A408" s="1"/>
      <c r="B408" s="16" t="s">
        <v>825</v>
      </c>
      <c r="C408" s="15" t="s">
        <v>832</v>
      </c>
      <c r="D408" s="15" t="s">
        <v>833</v>
      </c>
      <c r="E408" s="16" t="s">
        <v>26</v>
      </c>
      <c r="F408" s="17"/>
      <c r="G408" cm="1">
        <f t="array" ref="G408">IFERROR(_xlfn.XLOOKUP(Pedido891011121412131617181921192223[[#This Row],[Id de Producto]],[1]!Precios[[#All],[Id de Producto]],[1]!Precios[[#All],[Coste estándar]])*Pedido891011121412131617181921192223[[#This Row],[Pedido]],0)</f>
        <v>0</v>
      </c>
      <c r="H408" s="18">
        <v>0</v>
      </c>
      <c r="I408" s="16" t="s">
        <v>23</v>
      </c>
      <c r="J408" s="1"/>
      <c r="K408" s="1"/>
      <c r="L408" s="1"/>
      <c r="M408" s="1"/>
      <c r="N408" s="1"/>
    </row>
    <row r="409" spans="1:14" hidden="1" x14ac:dyDescent="0.25">
      <c r="A409" s="1"/>
      <c r="B409" s="16" t="s">
        <v>825</v>
      </c>
      <c r="C409" s="15" t="s">
        <v>834</v>
      </c>
      <c r="D409" s="15" t="s">
        <v>835</v>
      </c>
      <c r="E409" s="16" t="s">
        <v>26</v>
      </c>
      <c r="F409" s="17"/>
      <c r="G409" cm="1">
        <f t="array" ref="G409">IFERROR(_xlfn.XLOOKUP(Pedido891011121412131617181921192223[[#This Row],[Id de Producto]],[1]!Precios[[#All],[Id de Producto]],[1]!Precios[[#All],[Coste estándar]])*Pedido891011121412131617181921192223[[#This Row],[Pedido]],0)</f>
        <v>0</v>
      </c>
      <c r="H409" s="18">
        <v>0</v>
      </c>
      <c r="I409" s="16" t="s">
        <v>23</v>
      </c>
      <c r="J409" s="1"/>
      <c r="K409" s="1"/>
      <c r="L409" s="1"/>
      <c r="M409" s="1"/>
      <c r="N409" s="1"/>
    </row>
    <row r="410" spans="1:14" hidden="1" x14ac:dyDescent="0.25">
      <c r="A410" s="1"/>
      <c r="B410" s="16" t="s">
        <v>825</v>
      </c>
      <c r="C410" s="15" t="s">
        <v>836</v>
      </c>
      <c r="D410" s="15" t="s">
        <v>837</v>
      </c>
      <c r="E410" s="16" t="s">
        <v>26</v>
      </c>
      <c r="F410" s="17"/>
      <c r="G410" cm="1">
        <f t="array" ref="G410">IFERROR(_xlfn.XLOOKUP(Pedido891011121412131617181921192223[[#This Row],[Id de Producto]],[1]!Precios[[#All],[Id de Producto]],[1]!Precios[[#All],[Coste estándar]])*Pedido891011121412131617181921192223[[#This Row],[Pedido]],0)</f>
        <v>0</v>
      </c>
      <c r="H410" s="18">
        <v>0</v>
      </c>
      <c r="I410" s="16" t="s">
        <v>23</v>
      </c>
      <c r="J410" s="1"/>
      <c r="K410" s="1"/>
      <c r="L410" s="1"/>
      <c r="M410" s="1"/>
      <c r="N410" s="1"/>
    </row>
    <row r="411" spans="1:14" hidden="1" x14ac:dyDescent="0.25">
      <c r="A411" s="1"/>
      <c r="B411" s="16" t="s">
        <v>825</v>
      </c>
      <c r="C411" s="15" t="s">
        <v>838</v>
      </c>
      <c r="D411" s="15" t="s">
        <v>839</v>
      </c>
      <c r="E411" s="16" t="s">
        <v>26</v>
      </c>
      <c r="F411" s="17"/>
      <c r="G411" cm="1">
        <f t="array" ref="G411">IFERROR(_xlfn.XLOOKUP(Pedido891011121412131617181921192223[[#This Row],[Id de Producto]],[1]!Precios[[#All],[Id de Producto]],[1]!Precios[[#All],[Coste estándar]])*Pedido891011121412131617181921192223[[#This Row],[Pedido]],0)</f>
        <v>0</v>
      </c>
      <c r="H411" s="18">
        <v>0</v>
      </c>
      <c r="I411" s="16" t="s">
        <v>23</v>
      </c>
      <c r="J411" s="1"/>
      <c r="K411" s="1"/>
      <c r="L411" s="1"/>
      <c r="M411" s="1"/>
      <c r="N411" s="1"/>
    </row>
    <row r="412" spans="1:14" hidden="1" x14ac:dyDescent="0.25">
      <c r="A412" s="1"/>
      <c r="B412" s="16" t="s">
        <v>825</v>
      </c>
      <c r="C412" s="15" t="s">
        <v>840</v>
      </c>
      <c r="D412" s="15" t="s">
        <v>841</v>
      </c>
      <c r="E412" s="16" t="s">
        <v>26</v>
      </c>
      <c r="F412" s="17"/>
      <c r="G412" cm="1">
        <f t="array" ref="G412">IFERROR(_xlfn.XLOOKUP(Pedido891011121412131617181921192223[[#This Row],[Id de Producto]],[1]!Precios[[#All],[Id de Producto]],[1]!Precios[[#All],[Coste estándar]])*Pedido891011121412131617181921192223[[#This Row],[Pedido]],0)</f>
        <v>0</v>
      </c>
      <c r="H412" s="18">
        <v>0</v>
      </c>
      <c r="I412" s="16" t="s">
        <v>23</v>
      </c>
      <c r="J412" s="1"/>
      <c r="K412" s="1"/>
      <c r="L412" s="1"/>
      <c r="M412" s="1"/>
      <c r="N412" s="1"/>
    </row>
    <row r="413" spans="1:14" hidden="1" x14ac:dyDescent="0.25">
      <c r="A413" s="1"/>
      <c r="B413" s="16" t="s">
        <v>825</v>
      </c>
      <c r="C413" s="15" t="s">
        <v>842</v>
      </c>
      <c r="D413" s="15" t="s">
        <v>843</v>
      </c>
      <c r="E413" s="16" t="s">
        <v>26</v>
      </c>
      <c r="F413" s="17"/>
      <c r="G413" cm="1">
        <f t="array" ref="G413">IFERROR(_xlfn.XLOOKUP(Pedido891011121412131617181921192223[[#This Row],[Id de Producto]],[1]!Precios[[#All],[Id de Producto]],[1]!Precios[[#All],[Coste estándar]])*Pedido891011121412131617181921192223[[#This Row],[Pedido]],0)</f>
        <v>0</v>
      </c>
      <c r="H413" s="18">
        <v>0</v>
      </c>
      <c r="I413" s="16" t="s">
        <v>23</v>
      </c>
      <c r="J413" s="1"/>
      <c r="K413" s="1"/>
      <c r="L413" s="1"/>
      <c r="M413" s="1"/>
      <c r="N413" s="1"/>
    </row>
    <row r="414" spans="1:14" hidden="1" x14ac:dyDescent="0.25">
      <c r="A414" s="1"/>
      <c r="B414" s="16" t="s">
        <v>825</v>
      </c>
      <c r="C414" s="15" t="s">
        <v>844</v>
      </c>
      <c r="D414" s="15" t="s">
        <v>845</v>
      </c>
      <c r="E414" s="16" t="s">
        <v>26</v>
      </c>
      <c r="F414" s="17"/>
      <c r="G414" cm="1">
        <f t="array" ref="G414">IFERROR(_xlfn.XLOOKUP(Pedido891011121412131617181921192223[[#This Row],[Id de Producto]],[1]!Precios[[#All],[Id de Producto]],[1]!Precios[[#All],[Coste estándar]])*Pedido891011121412131617181921192223[[#This Row],[Pedido]],0)</f>
        <v>0</v>
      </c>
      <c r="H414" s="18">
        <v>0</v>
      </c>
      <c r="I414" s="16" t="s">
        <v>23</v>
      </c>
      <c r="J414" s="1"/>
      <c r="K414" s="1"/>
      <c r="L414" s="1"/>
      <c r="M414" s="1"/>
      <c r="N414" s="1"/>
    </row>
    <row r="415" spans="1:14" hidden="1" x14ac:dyDescent="0.25">
      <c r="A415" s="1"/>
      <c r="B415" s="16" t="s">
        <v>825</v>
      </c>
      <c r="C415" s="15" t="s">
        <v>846</v>
      </c>
      <c r="D415" s="15" t="s">
        <v>847</v>
      </c>
      <c r="E415" s="16" t="s">
        <v>26</v>
      </c>
      <c r="F415" s="17"/>
      <c r="G415" cm="1">
        <f t="array" ref="G415">IFERROR(_xlfn.XLOOKUP(Pedido891011121412131617181921192223[[#This Row],[Id de Producto]],[1]!Precios[[#All],[Id de Producto]],[1]!Precios[[#All],[Coste estándar]])*Pedido891011121412131617181921192223[[#This Row],[Pedido]],0)</f>
        <v>0</v>
      </c>
      <c r="H415" s="18">
        <v>0</v>
      </c>
      <c r="I415" s="16" t="s">
        <v>23</v>
      </c>
      <c r="J415" s="1"/>
      <c r="K415" s="1"/>
      <c r="L415" s="1"/>
      <c r="M415" s="1"/>
      <c r="N415" s="1"/>
    </row>
    <row r="416" spans="1:14" hidden="1" x14ac:dyDescent="0.25">
      <c r="A416" s="1"/>
      <c r="B416" s="15" t="s">
        <v>825</v>
      </c>
      <c r="C416" s="15" t="s">
        <v>848</v>
      </c>
      <c r="D416" s="15" t="s">
        <v>849</v>
      </c>
      <c r="E416" s="15" t="s">
        <v>26</v>
      </c>
      <c r="F416" s="17"/>
      <c r="G416" cm="1">
        <f t="array" ref="G416">IFERROR(_xlfn.XLOOKUP(Pedido891011121412131617181921192223[[#This Row],[Id de Producto]],[1]!Precios[[#All],[Id de Producto]],[1]!Precios[[#All],[Coste estándar]])*Pedido891011121412131617181921192223[[#This Row],[Pedido]],0)</f>
        <v>0</v>
      </c>
      <c r="H416" s="18">
        <v>0</v>
      </c>
      <c r="I416" s="16" t="s">
        <v>23</v>
      </c>
      <c r="J416" s="1"/>
      <c r="K416" s="1"/>
      <c r="L416" s="1"/>
      <c r="M416" s="1"/>
      <c r="N416" s="1"/>
    </row>
    <row r="417" spans="1:14" hidden="1" x14ac:dyDescent="0.25">
      <c r="A417" s="1"/>
      <c r="B417" s="15" t="s">
        <v>825</v>
      </c>
      <c r="C417" s="15" t="s">
        <v>850</v>
      </c>
      <c r="D417" s="15" t="s">
        <v>851</v>
      </c>
      <c r="E417" s="15" t="s">
        <v>26</v>
      </c>
      <c r="F417" s="17"/>
      <c r="G417" cm="1">
        <f t="array" ref="G417">IFERROR(_xlfn.XLOOKUP(Pedido891011121412131617181921192223[[#This Row],[Id de Producto]],[1]!Precios[[#All],[Id de Producto]],[1]!Precios[[#All],[Coste estándar]])*Pedido891011121412131617181921192223[[#This Row],[Pedido]],0)</f>
        <v>0</v>
      </c>
      <c r="H417" s="18">
        <v>0</v>
      </c>
      <c r="I417" s="16" t="s">
        <v>23</v>
      </c>
      <c r="J417" s="1"/>
      <c r="K417" s="1"/>
      <c r="L417" s="1"/>
      <c r="M417" s="1"/>
      <c r="N417" s="1"/>
    </row>
    <row r="418" spans="1:14" hidden="1" x14ac:dyDescent="0.25">
      <c r="A418" s="1"/>
      <c r="B418" s="15" t="s">
        <v>825</v>
      </c>
      <c r="C418" s="15" t="s">
        <v>852</v>
      </c>
      <c r="D418" s="15" t="s">
        <v>853</v>
      </c>
      <c r="E418" s="15" t="s">
        <v>26</v>
      </c>
      <c r="F418" s="17"/>
      <c r="G418" cm="1">
        <f t="array" ref="G418">IFERROR(_xlfn.XLOOKUP(Pedido891011121412131617181921192223[[#This Row],[Id de Producto]],[1]!Precios[[#All],[Id de Producto]],[1]!Precios[[#All],[Coste estándar]])*Pedido891011121412131617181921192223[[#This Row],[Pedido]],0)</f>
        <v>0</v>
      </c>
      <c r="H418" s="18">
        <v>0</v>
      </c>
      <c r="I418" s="16" t="s">
        <v>23</v>
      </c>
      <c r="J418" s="1"/>
      <c r="K418" s="1"/>
      <c r="L418" s="1"/>
      <c r="M418" s="1"/>
      <c r="N418" s="1"/>
    </row>
    <row r="419" spans="1:14" hidden="1" x14ac:dyDescent="0.25">
      <c r="A419" s="1"/>
      <c r="B419" s="15" t="s">
        <v>825</v>
      </c>
      <c r="C419" s="15" t="s">
        <v>854</v>
      </c>
      <c r="D419" s="15" t="s">
        <v>855</v>
      </c>
      <c r="E419" s="15" t="s">
        <v>26</v>
      </c>
      <c r="F419" s="17"/>
      <c r="G419" cm="1">
        <f t="array" ref="G419">IFERROR(_xlfn.XLOOKUP(Pedido891011121412131617181921192223[[#This Row],[Id de Producto]],[1]!Precios[[#All],[Id de Producto]],[1]!Precios[[#All],[Coste estándar]])*Pedido891011121412131617181921192223[[#This Row],[Pedido]],0)</f>
        <v>0</v>
      </c>
      <c r="H419" s="18">
        <v>0</v>
      </c>
      <c r="I419" s="16" t="s">
        <v>23</v>
      </c>
      <c r="J419" s="1"/>
      <c r="K419" s="1"/>
      <c r="L419" s="1"/>
      <c r="M419" s="1"/>
      <c r="N419" s="1"/>
    </row>
    <row r="420" spans="1:14" hidden="1" x14ac:dyDescent="0.25">
      <c r="A420" s="1"/>
      <c r="B420" s="15" t="s">
        <v>825</v>
      </c>
      <c r="C420" s="15" t="s">
        <v>856</v>
      </c>
      <c r="D420" s="15" t="s">
        <v>857</v>
      </c>
      <c r="E420" s="15" t="s">
        <v>26</v>
      </c>
      <c r="F420" s="17"/>
      <c r="G420" cm="1">
        <f t="array" ref="G420">IFERROR(_xlfn.XLOOKUP(Pedido891011121412131617181921192223[[#This Row],[Id de Producto]],[1]!Precios[[#All],[Id de Producto]],[1]!Precios[[#All],[Coste estándar]])*Pedido891011121412131617181921192223[[#This Row],[Pedido]],0)</f>
        <v>0</v>
      </c>
      <c r="H420" s="18">
        <v>0</v>
      </c>
      <c r="I420" s="16" t="s">
        <v>23</v>
      </c>
      <c r="J420" s="1"/>
      <c r="K420" s="1"/>
      <c r="L420" s="1"/>
      <c r="M420" s="1"/>
      <c r="N420" s="1"/>
    </row>
    <row r="421" spans="1:14" hidden="1" x14ac:dyDescent="0.25">
      <c r="A421" s="1"/>
      <c r="B421" s="15" t="s">
        <v>825</v>
      </c>
      <c r="C421" s="15" t="s">
        <v>858</v>
      </c>
      <c r="D421" s="15" t="s">
        <v>859</v>
      </c>
      <c r="E421" s="15" t="s">
        <v>26</v>
      </c>
      <c r="F421" s="17"/>
      <c r="G421" cm="1">
        <f t="array" ref="G421">IFERROR(_xlfn.XLOOKUP(Pedido891011121412131617181921192223[[#This Row],[Id de Producto]],[1]!Precios[[#All],[Id de Producto]],[1]!Precios[[#All],[Coste estándar]])*Pedido891011121412131617181921192223[[#This Row],[Pedido]],0)</f>
        <v>0</v>
      </c>
      <c r="H421" s="18">
        <v>0</v>
      </c>
      <c r="I421" s="16" t="s">
        <v>23</v>
      </c>
      <c r="J421" s="1"/>
      <c r="K421" s="1"/>
      <c r="L421" s="1"/>
      <c r="M421" s="1"/>
      <c r="N421" s="1"/>
    </row>
    <row r="422" spans="1:14" hidden="1" x14ac:dyDescent="0.25">
      <c r="A422" s="1"/>
      <c r="B422" s="15" t="s">
        <v>825</v>
      </c>
      <c r="C422" s="15" t="s">
        <v>860</v>
      </c>
      <c r="D422" s="15" t="s">
        <v>861</v>
      </c>
      <c r="E422" s="15" t="s">
        <v>26</v>
      </c>
      <c r="F422" s="17"/>
      <c r="G422" cm="1">
        <f t="array" ref="G422">IFERROR(_xlfn.XLOOKUP(Pedido891011121412131617181921192223[[#This Row],[Id de Producto]],[1]!Precios[[#All],[Id de Producto]],[1]!Precios[[#All],[Coste estándar]])*Pedido891011121412131617181921192223[[#This Row],[Pedido]],0)</f>
        <v>0</v>
      </c>
      <c r="H422" s="18">
        <v>0</v>
      </c>
      <c r="I422" s="16" t="s">
        <v>23</v>
      </c>
      <c r="J422" s="1"/>
      <c r="K422" s="1"/>
      <c r="L422" s="1"/>
      <c r="M422" s="1"/>
      <c r="N422" s="1"/>
    </row>
    <row r="423" spans="1:14" hidden="1" x14ac:dyDescent="0.25">
      <c r="A423" s="1"/>
      <c r="B423" s="15" t="s">
        <v>825</v>
      </c>
      <c r="C423" s="15" t="s">
        <v>862</v>
      </c>
      <c r="D423" s="15" t="s">
        <v>863</v>
      </c>
      <c r="E423" s="15" t="s">
        <v>26</v>
      </c>
      <c r="F423" s="17"/>
      <c r="G423" cm="1">
        <f t="array" ref="G423">IFERROR(_xlfn.XLOOKUP(Pedido891011121412131617181921192223[[#This Row],[Id de Producto]],[1]!Precios[[#All],[Id de Producto]],[1]!Precios[[#All],[Coste estándar]])*Pedido891011121412131617181921192223[[#This Row],[Pedido]],0)</f>
        <v>0</v>
      </c>
      <c r="H423" s="18">
        <v>0</v>
      </c>
      <c r="I423" s="16" t="s">
        <v>23</v>
      </c>
      <c r="J423" s="1"/>
      <c r="K423" s="1"/>
      <c r="L423" s="1"/>
      <c r="M423" s="1"/>
      <c r="N423" s="1"/>
    </row>
    <row r="424" spans="1:14" hidden="1" x14ac:dyDescent="0.25">
      <c r="A424" s="1"/>
      <c r="B424" s="15" t="s">
        <v>825</v>
      </c>
      <c r="C424" s="15" t="s">
        <v>864</v>
      </c>
      <c r="D424" s="15" t="s">
        <v>865</v>
      </c>
      <c r="E424" s="15" t="s">
        <v>26</v>
      </c>
      <c r="F424" s="17"/>
      <c r="G424" cm="1">
        <f t="array" ref="G424">IFERROR(_xlfn.XLOOKUP(Pedido891011121412131617181921192223[[#This Row],[Id de Producto]],[1]!Precios[[#All],[Id de Producto]],[1]!Precios[[#All],[Coste estándar]])*Pedido891011121412131617181921192223[[#This Row],[Pedido]],0)</f>
        <v>0</v>
      </c>
      <c r="H424" s="18">
        <v>0</v>
      </c>
      <c r="I424" s="16" t="s">
        <v>23</v>
      </c>
      <c r="J424" s="1"/>
      <c r="K424" s="1"/>
      <c r="L424" s="1"/>
      <c r="M424" s="1"/>
      <c r="N424" s="1"/>
    </row>
    <row r="425" spans="1:14" hidden="1" x14ac:dyDescent="0.25">
      <c r="A425" s="1"/>
      <c r="B425" s="15" t="s">
        <v>825</v>
      </c>
      <c r="C425" s="15" t="s">
        <v>866</v>
      </c>
      <c r="D425" s="15" t="s">
        <v>867</v>
      </c>
      <c r="E425" s="15" t="s">
        <v>26</v>
      </c>
      <c r="F425" s="17"/>
      <c r="G425" cm="1">
        <f t="array" ref="G425">IFERROR(_xlfn.XLOOKUP(Pedido891011121412131617181921192223[[#This Row],[Id de Producto]],[1]!Precios[[#All],[Id de Producto]],[1]!Precios[[#All],[Coste estándar]])*Pedido891011121412131617181921192223[[#This Row],[Pedido]],0)</f>
        <v>0</v>
      </c>
      <c r="H425" s="18">
        <v>0</v>
      </c>
      <c r="I425" s="16" t="s">
        <v>23</v>
      </c>
      <c r="J425" s="1"/>
      <c r="K425" s="1"/>
      <c r="L425" s="1"/>
      <c r="M425" s="1"/>
      <c r="N425" s="1"/>
    </row>
    <row r="426" spans="1:14" hidden="1" x14ac:dyDescent="0.25">
      <c r="A426" s="1"/>
      <c r="B426" s="15" t="s">
        <v>825</v>
      </c>
      <c r="C426" s="15" t="s">
        <v>868</v>
      </c>
      <c r="D426" s="15" t="s">
        <v>869</v>
      </c>
      <c r="E426" s="15" t="s">
        <v>26</v>
      </c>
      <c r="F426" s="17"/>
      <c r="G426" cm="1">
        <f t="array" ref="G426">IFERROR(_xlfn.XLOOKUP(Pedido891011121412131617181921192223[[#This Row],[Id de Producto]],[1]!Precios[[#All],[Id de Producto]],[1]!Precios[[#All],[Coste estándar]])*Pedido891011121412131617181921192223[[#This Row],[Pedido]],0)</f>
        <v>0</v>
      </c>
      <c r="H426" s="18">
        <v>0</v>
      </c>
      <c r="I426" s="16" t="s">
        <v>23</v>
      </c>
      <c r="J426" s="1"/>
      <c r="K426" s="1"/>
      <c r="L426" s="1"/>
      <c r="M426" s="1"/>
      <c r="N426" s="1"/>
    </row>
    <row r="427" spans="1:14" hidden="1" x14ac:dyDescent="0.25">
      <c r="A427" s="1"/>
      <c r="B427" s="15" t="s">
        <v>825</v>
      </c>
      <c r="C427" s="15" t="s">
        <v>870</v>
      </c>
      <c r="D427" s="15" t="s">
        <v>871</v>
      </c>
      <c r="E427" s="15" t="s">
        <v>26</v>
      </c>
      <c r="F427" s="17"/>
      <c r="G427" cm="1">
        <f t="array" ref="G427">IFERROR(_xlfn.XLOOKUP(Pedido891011121412131617181921192223[[#This Row],[Id de Producto]],[1]!Precios[[#All],[Id de Producto]],[1]!Precios[[#All],[Coste estándar]])*Pedido891011121412131617181921192223[[#This Row],[Pedido]],0)</f>
        <v>0</v>
      </c>
      <c r="H427" s="18">
        <v>0</v>
      </c>
      <c r="I427" s="16" t="s">
        <v>23</v>
      </c>
      <c r="J427" s="1"/>
      <c r="K427" s="1"/>
      <c r="L427" s="1"/>
      <c r="M427" s="1"/>
      <c r="N427" s="1"/>
    </row>
    <row r="428" spans="1:14" hidden="1" x14ac:dyDescent="0.25">
      <c r="A428" s="1"/>
      <c r="B428" s="15" t="s">
        <v>825</v>
      </c>
      <c r="C428" s="15" t="s">
        <v>872</v>
      </c>
      <c r="D428" s="15" t="s">
        <v>873</v>
      </c>
      <c r="E428" s="15" t="s">
        <v>26</v>
      </c>
      <c r="F428" s="17"/>
      <c r="G428" cm="1">
        <f t="array" ref="G428">IFERROR(_xlfn.XLOOKUP(Pedido891011121412131617181921192223[[#This Row],[Id de Producto]],[1]!Precios[[#All],[Id de Producto]],[1]!Precios[[#All],[Coste estándar]])*Pedido891011121412131617181921192223[[#This Row],[Pedido]],0)</f>
        <v>0</v>
      </c>
      <c r="H428" s="18">
        <v>0</v>
      </c>
      <c r="I428" s="16" t="s">
        <v>23</v>
      </c>
      <c r="J428" s="1"/>
      <c r="K428" s="1"/>
      <c r="L428" s="1"/>
      <c r="M428" s="1"/>
      <c r="N428" s="1"/>
    </row>
    <row r="429" spans="1:14" hidden="1" x14ac:dyDescent="0.25">
      <c r="A429" s="1"/>
      <c r="B429" s="15" t="s">
        <v>825</v>
      </c>
      <c r="C429" s="15" t="s">
        <v>874</v>
      </c>
      <c r="D429" s="15" t="s">
        <v>875</v>
      </c>
      <c r="E429" s="15" t="s">
        <v>26</v>
      </c>
      <c r="F429" s="17"/>
      <c r="G429" cm="1">
        <f t="array" ref="G429">IFERROR(_xlfn.XLOOKUP(Pedido891011121412131617181921192223[[#This Row],[Id de Producto]],[1]!Precios[[#All],[Id de Producto]],[1]!Precios[[#All],[Coste estándar]])*Pedido891011121412131617181921192223[[#This Row],[Pedido]],0)</f>
        <v>0</v>
      </c>
      <c r="H429" s="18">
        <v>0</v>
      </c>
      <c r="I429" s="16" t="s">
        <v>23</v>
      </c>
      <c r="J429" s="1"/>
      <c r="K429" s="1"/>
      <c r="L429" s="1"/>
      <c r="M429" s="1"/>
      <c r="N429" s="1"/>
    </row>
    <row r="430" spans="1:14" hidden="1" x14ac:dyDescent="0.25">
      <c r="A430" s="1"/>
      <c r="B430" s="15" t="s">
        <v>825</v>
      </c>
      <c r="C430" s="15" t="s">
        <v>876</v>
      </c>
      <c r="D430" s="15" t="s">
        <v>877</v>
      </c>
      <c r="E430" s="15" t="s">
        <v>22</v>
      </c>
      <c r="F430" s="17"/>
      <c r="G430" cm="1">
        <f t="array" ref="G430">IFERROR(_xlfn.XLOOKUP(Pedido891011121412131617181921192223[[#This Row],[Id de Producto]],[1]!Precios[[#All],[Id de Producto]],[1]!Precios[[#All],[Coste estándar]])*Pedido891011121412131617181921192223[[#This Row],[Pedido]],0)</f>
        <v>0</v>
      </c>
      <c r="H430" s="18">
        <v>0</v>
      </c>
      <c r="I430" s="15" t="s">
        <v>121</v>
      </c>
      <c r="J430" s="1"/>
      <c r="K430" s="1"/>
      <c r="L430" s="1"/>
      <c r="M430" s="1"/>
      <c r="N430" s="1"/>
    </row>
    <row r="431" spans="1:14" hidden="1" x14ac:dyDescent="0.25">
      <c r="A431" s="1"/>
      <c r="B431" s="15" t="s">
        <v>825</v>
      </c>
      <c r="C431" s="15" t="s">
        <v>878</v>
      </c>
      <c r="D431" s="15" t="s">
        <v>879</v>
      </c>
      <c r="E431" s="15" t="s">
        <v>26</v>
      </c>
      <c r="F431" s="17"/>
      <c r="G431" cm="1">
        <f t="array" ref="G431">IFERROR(_xlfn.XLOOKUP(Pedido891011121412131617181921192223[[#This Row],[Id de Producto]],[1]!Precios[[#All],[Id de Producto]],[1]!Precios[[#All],[Coste estándar]])*Pedido891011121412131617181921192223[[#This Row],[Pedido]],0)</f>
        <v>0</v>
      </c>
      <c r="H431" s="18">
        <v>0</v>
      </c>
      <c r="I431" s="16" t="s">
        <v>23</v>
      </c>
      <c r="J431" s="1"/>
      <c r="K431" s="1"/>
      <c r="L431" s="1"/>
      <c r="M431" s="1"/>
      <c r="N431" s="1"/>
    </row>
    <row r="432" spans="1:14" hidden="1" x14ac:dyDescent="0.25">
      <c r="A432" s="1"/>
      <c r="B432" s="15" t="s">
        <v>825</v>
      </c>
      <c r="C432" s="15" t="s">
        <v>880</v>
      </c>
      <c r="D432" s="15" t="s">
        <v>881</v>
      </c>
      <c r="E432" s="15" t="s">
        <v>26</v>
      </c>
      <c r="F432" s="17"/>
      <c r="G432" cm="1">
        <f t="array" ref="G432">IFERROR(_xlfn.XLOOKUP(Pedido891011121412131617181921192223[[#This Row],[Id de Producto]],[1]!Precios[[#All],[Id de Producto]],[1]!Precios[[#All],[Coste estándar]])*Pedido891011121412131617181921192223[[#This Row],[Pedido]],0)</f>
        <v>0</v>
      </c>
      <c r="H432" s="18">
        <v>0</v>
      </c>
      <c r="I432" s="16" t="s">
        <v>23</v>
      </c>
      <c r="J432" s="1"/>
      <c r="K432" s="1"/>
      <c r="L432" s="1"/>
      <c r="M432" s="1"/>
      <c r="N432" s="1"/>
    </row>
    <row r="433" spans="1:14" hidden="1" x14ac:dyDescent="0.25">
      <c r="A433" s="1"/>
      <c r="B433" s="15" t="s">
        <v>825</v>
      </c>
      <c r="C433" s="15" t="s">
        <v>882</v>
      </c>
      <c r="D433" s="15" t="s">
        <v>883</v>
      </c>
      <c r="E433" s="15" t="s">
        <v>26</v>
      </c>
      <c r="F433" s="17"/>
      <c r="G433" cm="1">
        <f t="array" ref="G433">IFERROR(_xlfn.XLOOKUP(Pedido891011121412131617181921192223[[#This Row],[Id de Producto]],[1]!Precios[[#All],[Id de Producto]],[1]!Precios[[#All],[Coste estándar]])*Pedido891011121412131617181921192223[[#This Row],[Pedido]],0)</f>
        <v>0</v>
      </c>
      <c r="H433" s="18">
        <v>0</v>
      </c>
      <c r="I433" s="16" t="s">
        <v>23</v>
      </c>
      <c r="J433" s="1"/>
      <c r="K433" s="1"/>
      <c r="L433" s="1"/>
      <c r="M433" s="1"/>
      <c r="N433" s="1"/>
    </row>
    <row r="434" spans="1:14" hidden="1" x14ac:dyDescent="0.25">
      <c r="A434" s="1"/>
      <c r="B434" s="15" t="s">
        <v>825</v>
      </c>
      <c r="C434" s="15" t="s">
        <v>884</v>
      </c>
      <c r="D434" s="15" t="s">
        <v>885</v>
      </c>
      <c r="E434" s="15" t="s">
        <v>26</v>
      </c>
      <c r="F434" s="17"/>
      <c r="G434" cm="1">
        <f t="array" ref="G434">IFERROR(_xlfn.XLOOKUP(Pedido891011121412131617181921192223[[#This Row],[Id de Producto]],[1]!Precios[[#All],[Id de Producto]],[1]!Precios[[#All],[Coste estándar]])*Pedido891011121412131617181921192223[[#This Row],[Pedido]],0)</f>
        <v>0</v>
      </c>
      <c r="H434" s="18">
        <v>0</v>
      </c>
      <c r="I434" s="16" t="s">
        <v>23</v>
      </c>
      <c r="J434" s="1"/>
      <c r="K434" s="1"/>
      <c r="L434" s="1"/>
      <c r="M434" s="1"/>
      <c r="N434" s="1"/>
    </row>
    <row r="435" spans="1:14" hidden="1" x14ac:dyDescent="0.25">
      <c r="A435" s="1"/>
      <c r="B435" s="15" t="s">
        <v>825</v>
      </c>
      <c r="C435" s="15" t="s">
        <v>886</v>
      </c>
      <c r="D435" s="15" t="s">
        <v>887</v>
      </c>
      <c r="E435" s="15" t="s">
        <v>26</v>
      </c>
      <c r="F435" s="17"/>
      <c r="G435" cm="1">
        <f t="array" ref="G435">IFERROR(_xlfn.XLOOKUP(Pedido891011121412131617181921192223[[#This Row],[Id de Producto]],[1]!Precios[[#All],[Id de Producto]],[1]!Precios[[#All],[Coste estándar]])*Pedido891011121412131617181921192223[[#This Row],[Pedido]],0)</f>
        <v>0</v>
      </c>
      <c r="H435" s="18">
        <v>0</v>
      </c>
      <c r="I435" s="16" t="s">
        <v>23</v>
      </c>
      <c r="J435" s="1"/>
      <c r="K435" s="1"/>
      <c r="L435" s="1"/>
      <c r="M435" s="1"/>
      <c r="N435" s="1"/>
    </row>
    <row r="436" spans="1:14" hidden="1" x14ac:dyDescent="0.25">
      <c r="A436" s="1"/>
      <c r="B436" s="15" t="s">
        <v>825</v>
      </c>
      <c r="C436" s="15" t="s">
        <v>888</v>
      </c>
      <c r="D436" s="15" t="s">
        <v>889</v>
      </c>
      <c r="E436" s="15" t="s">
        <v>26</v>
      </c>
      <c r="F436" s="17"/>
      <c r="G436" cm="1">
        <f t="array" ref="G436">IFERROR(_xlfn.XLOOKUP(Pedido891011121412131617181921192223[[#This Row],[Id de Producto]],[1]!Precios[[#All],[Id de Producto]],[1]!Precios[[#All],[Coste estándar]])*Pedido891011121412131617181921192223[[#This Row],[Pedido]],0)</f>
        <v>0</v>
      </c>
      <c r="H436" s="18">
        <v>0</v>
      </c>
      <c r="I436" s="16" t="s">
        <v>23</v>
      </c>
      <c r="J436" s="1"/>
      <c r="K436" s="1"/>
      <c r="L436" s="1"/>
      <c r="M436" s="1"/>
      <c r="N436" s="1"/>
    </row>
    <row r="437" spans="1:14" hidden="1" x14ac:dyDescent="0.25">
      <c r="A437" s="1"/>
      <c r="B437" s="15" t="s">
        <v>825</v>
      </c>
      <c r="C437" s="15" t="s">
        <v>890</v>
      </c>
      <c r="D437" s="15" t="s">
        <v>891</v>
      </c>
      <c r="E437" s="15" t="s">
        <v>26</v>
      </c>
      <c r="F437" s="17"/>
      <c r="G437" cm="1">
        <f t="array" ref="G437">IFERROR(_xlfn.XLOOKUP(Pedido891011121412131617181921192223[[#This Row],[Id de Producto]],[1]!Precios[[#All],[Id de Producto]],[1]!Precios[[#All],[Coste estándar]])*Pedido891011121412131617181921192223[[#This Row],[Pedido]],0)</f>
        <v>0</v>
      </c>
      <c r="H437" s="18">
        <v>0</v>
      </c>
      <c r="I437" s="16" t="s">
        <v>23</v>
      </c>
      <c r="J437" s="1"/>
      <c r="K437" s="1"/>
      <c r="L437" s="1"/>
      <c r="M437" s="1"/>
      <c r="N437" s="1"/>
    </row>
    <row r="438" spans="1:14" hidden="1" x14ac:dyDescent="0.25">
      <c r="A438" s="1"/>
      <c r="B438" s="15" t="s">
        <v>825</v>
      </c>
      <c r="C438" s="15" t="s">
        <v>892</v>
      </c>
      <c r="D438" s="15" t="s">
        <v>893</v>
      </c>
      <c r="E438" s="16" t="s">
        <v>26</v>
      </c>
      <c r="F438" s="17"/>
      <c r="G438" cm="1">
        <f t="array" ref="G438">IFERROR(_xlfn.XLOOKUP(Pedido891011121412131617181921192223[[#This Row],[Id de Producto]],[1]!Precios[[#All],[Id de Producto]],[1]!Precios[[#All],[Coste estándar]])*Pedido891011121412131617181921192223[[#This Row],[Pedido]],0)</f>
        <v>0</v>
      </c>
      <c r="H438" s="18">
        <v>0</v>
      </c>
      <c r="I438" s="16" t="s">
        <v>23</v>
      </c>
      <c r="J438" s="1"/>
      <c r="K438" s="1"/>
      <c r="L438" s="1"/>
      <c r="M438" s="1"/>
      <c r="N438" s="1"/>
    </row>
    <row r="439" spans="1:14" hidden="1" x14ac:dyDescent="0.25">
      <c r="A439" s="1"/>
      <c r="B439" s="15" t="s">
        <v>825</v>
      </c>
      <c r="C439" s="15" t="s">
        <v>894</v>
      </c>
      <c r="D439" s="15" t="s">
        <v>895</v>
      </c>
      <c r="E439" s="15" t="s">
        <v>26</v>
      </c>
      <c r="F439" s="17"/>
      <c r="G439" cm="1">
        <f t="array" ref="G439">IFERROR(_xlfn.XLOOKUP(Pedido891011121412131617181921192223[[#This Row],[Id de Producto]],[1]!Precios[[#All],[Id de Producto]],[1]!Precios[[#All],[Coste estándar]])*Pedido891011121412131617181921192223[[#This Row],[Pedido]],0)</f>
        <v>0</v>
      </c>
      <c r="H439" s="18">
        <v>0</v>
      </c>
      <c r="I439" s="16" t="s">
        <v>23</v>
      </c>
      <c r="J439" s="1"/>
      <c r="K439" s="1"/>
      <c r="L439" s="1"/>
      <c r="M439" s="1"/>
      <c r="N439" s="1"/>
    </row>
    <row r="440" spans="1:14" hidden="1" x14ac:dyDescent="0.25">
      <c r="A440" s="1"/>
      <c r="B440" s="15" t="s">
        <v>825</v>
      </c>
      <c r="C440" s="15" t="s">
        <v>896</v>
      </c>
      <c r="D440" s="15" t="s">
        <v>897</v>
      </c>
      <c r="E440" s="15" t="s">
        <v>26</v>
      </c>
      <c r="F440" s="17"/>
      <c r="G440" cm="1">
        <f t="array" ref="G440">IFERROR(_xlfn.XLOOKUP(Pedido891011121412131617181921192223[[#This Row],[Id de Producto]],[1]!Precios[[#All],[Id de Producto]],[1]!Precios[[#All],[Coste estándar]])*Pedido891011121412131617181921192223[[#This Row],[Pedido]],0)</f>
        <v>0</v>
      </c>
      <c r="H440" s="18">
        <v>0</v>
      </c>
      <c r="I440" s="16" t="s">
        <v>23</v>
      </c>
      <c r="J440" s="1"/>
      <c r="K440" s="1"/>
      <c r="L440" s="1"/>
      <c r="M440" s="1"/>
      <c r="N440" s="1"/>
    </row>
    <row r="441" spans="1:14" hidden="1" x14ac:dyDescent="0.25">
      <c r="A441" s="1"/>
      <c r="B441" s="15" t="s">
        <v>825</v>
      </c>
      <c r="C441" s="15" t="s">
        <v>898</v>
      </c>
      <c r="D441" s="15" t="s">
        <v>899</v>
      </c>
      <c r="E441" s="15" t="s">
        <v>26</v>
      </c>
      <c r="F441" s="17"/>
      <c r="G441" cm="1">
        <f t="array" ref="G441">IFERROR(_xlfn.XLOOKUP(Pedido891011121412131617181921192223[[#This Row],[Id de Producto]],[1]!Precios[[#All],[Id de Producto]],[1]!Precios[[#All],[Coste estándar]])*Pedido891011121412131617181921192223[[#This Row],[Pedido]],0)</f>
        <v>0</v>
      </c>
      <c r="H441" s="18">
        <v>0</v>
      </c>
      <c r="I441" s="16" t="s">
        <v>23</v>
      </c>
      <c r="J441" s="1"/>
      <c r="K441" s="1"/>
      <c r="L441" s="1"/>
      <c r="M441" s="1"/>
      <c r="N441" s="1"/>
    </row>
    <row r="442" spans="1:14" hidden="1" x14ac:dyDescent="0.25">
      <c r="A442" s="1"/>
      <c r="B442" s="15" t="s">
        <v>105</v>
      </c>
      <c r="C442" s="15" t="s">
        <v>900</v>
      </c>
      <c r="D442" s="15" t="s">
        <v>901</v>
      </c>
      <c r="E442" s="15" t="s">
        <v>108</v>
      </c>
      <c r="F442" s="17"/>
      <c r="G442" cm="1">
        <f t="array" ref="G442">IFERROR(_xlfn.XLOOKUP(Pedido891011121412131617181921192223[[#This Row],[Id de Producto]],[1]!Precios[[#All],[Id de Producto]],[1]!Precios[[#All],[Coste estándar]])*Pedido891011121412131617181921192223[[#This Row],[Pedido]],0)</f>
        <v>0</v>
      </c>
      <c r="H442" s="18">
        <v>0</v>
      </c>
      <c r="I442" s="16" t="s">
        <v>105</v>
      </c>
      <c r="J442" s="1"/>
      <c r="K442" s="1"/>
      <c r="L442" s="1"/>
      <c r="M442" s="1"/>
      <c r="N442" s="1"/>
    </row>
    <row r="443" spans="1:14" hidden="1" x14ac:dyDescent="0.25">
      <c r="A443" s="1"/>
      <c r="B443" s="16" t="s">
        <v>105</v>
      </c>
      <c r="C443" s="15" t="s">
        <v>902</v>
      </c>
      <c r="D443" s="15" t="s">
        <v>902</v>
      </c>
      <c r="E443" s="16" t="s">
        <v>108</v>
      </c>
      <c r="F443" s="17"/>
      <c r="G443" cm="1">
        <f t="array" ref="G443">IFERROR(_xlfn.XLOOKUP(Pedido891011121412131617181921192223[[#This Row],[Id de Producto]],[1]!Precios[[#All],[Id de Producto]],[1]!Precios[[#All],[Coste estándar]])*Pedido891011121412131617181921192223[[#This Row],[Pedido]],0)</f>
        <v>0</v>
      </c>
      <c r="H443" s="18">
        <v>0</v>
      </c>
      <c r="I443" s="16" t="s">
        <v>105</v>
      </c>
      <c r="J443" s="1"/>
      <c r="K443" s="1"/>
      <c r="L443" s="1"/>
      <c r="M443" s="1"/>
      <c r="N443" s="1"/>
    </row>
    <row r="444" spans="1:14" hidden="1" x14ac:dyDescent="0.25">
      <c r="A444" s="1"/>
      <c r="B444" s="15" t="s">
        <v>441</v>
      </c>
      <c r="C444" s="15" t="s">
        <v>903</v>
      </c>
      <c r="D444" s="15" t="s">
        <v>904</v>
      </c>
      <c r="E444" s="15" t="s">
        <v>26</v>
      </c>
      <c r="F444" s="17"/>
      <c r="G444" cm="1">
        <f t="array" ref="G444">IFERROR(_xlfn.XLOOKUP(Pedido891011121412131617181921192223[[#This Row],[Id de Producto]],[1]!Precios[[#All],[Id de Producto]],[1]!Precios[[#All],[Coste estándar]])*Pedido891011121412131617181921192223[[#This Row],[Pedido]],0)</f>
        <v>0</v>
      </c>
      <c r="H444" s="18">
        <v>0</v>
      </c>
      <c r="I444" s="15" t="s">
        <v>441</v>
      </c>
      <c r="J444" s="1"/>
      <c r="K444" s="1"/>
      <c r="L444" s="1"/>
      <c r="M444" s="1"/>
      <c r="N444" s="1"/>
    </row>
    <row r="445" spans="1:14" hidden="1" x14ac:dyDescent="0.25">
      <c r="A445" s="1"/>
      <c r="B445" s="16" t="s">
        <v>102</v>
      </c>
      <c r="C445" s="15" t="s">
        <v>903</v>
      </c>
      <c r="D445" s="15" t="s">
        <v>904</v>
      </c>
      <c r="E445" s="15" t="s">
        <v>26</v>
      </c>
      <c r="F445" s="17"/>
      <c r="G445" s="14" cm="1">
        <f t="array" ref="G445">IFERROR(_xlfn.XLOOKUP(Pedido891011121412131617181921192223[[#This Row],[Id de Producto]],[1]!Precios[[#All],[Id de Producto]],[1]!Precios[[#All],[Coste estándar]])*Pedido891011121412131617181921192223[[#This Row],[Pedido]],0)</f>
        <v>0</v>
      </c>
      <c r="H445" s="18">
        <v>0</v>
      </c>
      <c r="I445" s="16" t="s">
        <v>102</v>
      </c>
      <c r="J445" s="1"/>
      <c r="K445" s="1"/>
      <c r="L445" s="1"/>
      <c r="M445" s="1"/>
      <c r="N445" s="1"/>
    </row>
    <row r="446" spans="1:14" hidden="1" x14ac:dyDescent="0.25">
      <c r="A446" s="1"/>
      <c r="B446" s="15" t="s">
        <v>105</v>
      </c>
      <c r="C446" s="15" t="s">
        <v>905</v>
      </c>
      <c r="D446" s="15" t="s">
        <v>906</v>
      </c>
      <c r="E446" s="15" t="s">
        <v>108</v>
      </c>
      <c r="F446" s="17"/>
      <c r="G446" cm="1">
        <f t="array" ref="G446">IFERROR(_xlfn.XLOOKUP(Pedido891011121412131617181921192223[[#This Row],[Id de Producto]],[1]!Precios[[#All],[Id de Producto]],[1]!Precios[[#All],[Coste estándar]])*Pedido891011121412131617181921192223[[#This Row],[Pedido]],0)</f>
        <v>0</v>
      </c>
      <c r="H446" s="18">
        <v>1</v>
      </c>
      <c r="I446" s="16" t="s">
        <v>105</v>
      </c>
      <c r="J446" s="1"/>
      <c r="K446" s="1"/>
      <c r="L446" s="1"/>
      <c r="M446" s="1"/>
      <c r="N446" s="1"/>
    </row>
    <row r="447" spans="1:14" hidden="1" x14ac:dyDescent="0.25">
      <c r="A447" s="1"/>
      <c r="B447" s="15" t="s">
        <v>907</v>
      </c>
      <c r="C447" s="15" t="s">
        <v>908</v>
      </c>
      <c r="D447" s="15" t="s">
        <v>909</v>
      </c>
      <c r="E447" s="16" t="s">
        <v>26</v>
      </c>
      <c r="F447" s="17"/>
      <c r="G447" cm="1">
        <f t="array" ref="G447">IFERROR(_xlfn.XLOOKUP(Pedido891011121412131617181921192223[[#This Row],[Id de Producto]],[1]!Precios[[#All],[Id de Producto]],[1]!Precios[[#All],[Coste estándar]])*Pedido891011121412131617181921192223[[#This Row],[Pedido]],0)</f>
        <v>0</v>
      </c>
      <c r="H447" s="15">
        <v>0</v>
      </c>
      <c r="I447" s="15" t="s">
        <v>121</v>
      </c>
      <c r="J447" s="1"/>
      <c r="K447" s="1"/>
      <c r="L447" s="1"/>
      <c r="M447" s="1"/>
      <c r="N447" s="1"/>
    </row>
    <row r="448" spans="1:14" hidden="1" x14ac:dyDescent="0.25">
      <c r="A448" s="1"/>
      <c r="B448" s="15" t="s">
        <v>907</v>
      </c>
      <c r="C448" s="15" t="s">
        <v>910</v>
      </c>
      <c r="D448" s="15" t="s">
        <v>911</v>
      </c>
      <c r="E448" s="16" t="s">
        <v>26</v>
      </c>
      <c r="F448" s="17"/>
      <c r="G448" cm="1">
        <f t="array" ref="G448">IFERROR(_xlfn.XLOOKUP(Pedido891011121412131617181921192223[[#This Row],[Id de Producto]],[1]!Precios[[#All],[Id de Producto]],[1]!Precios[[#All],[Coste estándar]])*Pedido891011121412131617181921192223[[#This Row],[Pedido]],0)</f>
        <v>0</v>
      </c>
      <c r="H448" s="15">
        <v>0</v>
      </c>
      <c r="I448" s="15" t="s">
        <v>121</v>
      </c>
      <c r="J448" s="1"/>
      <c r="K448" s="1"/>
      <c r="L448" s="1"/>
      <c r="M448" s="1"/>
      <c r="N448" s="1"/>
    </row>
    <row r="449" spans="1:14" hidden="1" x14ac:dyDescent="0.25">
      <c r="A449" s="1"/>
      <c r="B449" s="15" t="s">
        <v>907</v>
      </c>
      <c r="C449" s="15" t="s">
        <v>912</v>
      </c>
      <c r="D449" s="15" t="s">
        <v>913</v>
      </c>
      <c r="E449" s="16" t="s">
        <v>26</v>
      </c>
      <c r="F449" s="17"/>
      <c r="G449" cm="1">
        <f t="array" ref="G449">IFERROR(_xlfn.XLOOKUP(Pedido891011121412131617181921192223[[#This Row],[Id de Producto]],[1]!Precios[[#All],[Id de Producto]],[1]!Precios[[#All],[Coste estándar]])*Pedido891011121412131617181921192223[[#This Row],[Pedido]],0)</f>
        <v>0</v>
      </c>
      <c r="H449" s="15">
        <v>0</v>
      </c>
      <c r="I449" s="15" t="s">
        <v>121</v>
      </c>
      <c r="J449" s="1"/>
      <c r="K449" s="1"/>
      <c r="L449" s="1"/>
      <c r="M449" s="1"/>
      <c r="N449" s="1"/>
    </row>
    <row r="450" spans="1:14" hidden="1" x14ac:dyDescent="0.25">
      <c r="A450" s="1"/>
      <c r="B450" s="15" t="s">
        <v>907</v>
      </c>
      <c r="C450" s="15" t="s">
        <v>914</v>
      </c>
      <c r="D450" s="15" t="s">
        <v>915</v>
      </c>
      <c r="E450" s="16" t="s">
        <v>26</v>
      </c>
      <c r="F450" s="17"/>
      <c r="G450" cm="1">
        <f t="array" ref="G450">IFERROR(_xlfn.XLOOKUP(Pedido891011121412131617181921192223[[#This Row],[Id de Producto]],[1]!Precios[[#All],[Id de Producto]],[1]!Precios[[#All],[Coste estándar]])*Pedido891011121412131617181921192223[[#This Row],[Pedido]],0)</f>
        <v>0</v>
      </c>
      <c r="H450" s="15">
        <v>0</v>
      </c>
      <c r="I450" s="15" t="s">
        <v>121</v>
      </c>
      <c r="J450" s="1"/>
      <c r="K450" s="1"/>
      <c r="L450" s="1"/>
      <c r="M450" s="1"/>
      <c r="N450" s="1"/>
    </row>
    <row r="451" spans="1:14" hidden="1" x14ac:dyDescent="0.25">
      <c r="A451" s="1"/>
      <c r="B451" s="15" t="s">
        <v>907</v>
      </c>
      <c r="C451" s="15" t="s">
        <v>916</v>
      </c>
      <c r="D451" s="15" t="s">
        <v>917</v>
      </c>
      <c r="E451" s="16" t="s">
        <v>26</v>
      </c>
      <c r="F451" s="17"/>
      <c r="G451" cm="1">
        <f t="array" ref="G451">IFERROR(_xlfn.XLOOKUP(Pedido891011121412131617181921192223[[#This Row],[Id de Producto]],[1]!Precios[[#All],[Id de Producto]],[1]!Precios[[#All],[Coste estándar]])*Pedido891011121412131617181921192223[[#This Row],[Pedido]],0)</f>
        <v>0</v>
      </c>
      <c r="H451" s="15">
        <v>0</v>
      </c>
      <c r="I451" s="15" t="s">
        <v>121</v>
      </c>
      <c r="J451" s="1"/>
      <c r="K451" s="1"/>
      <c r="L451" s="1"/>
      <c r="M451" s="1"/>
      <c r="N451" s="1"/>
    </row>
    <row r="452" spans="1:14" hidden="1" x14ac:dyDescent="0.25">
      <c r="A452" s="1"/>
      <c r="B452" s="16" t="s">
        <v>255</v>
      </c>
      <c r="C452" s="15" t="s">
        <v>918</v>
      </c>
      <c r="D452" s="15" t="s">
        <v>919</v>
      </c>
      <c r="E452" s="16" t="s">
        <v>120</v>
      </c>
      <c r="F452" s="17"/>
      <c r="G452" cm="1">
        <f t="array" ref="G452">IFERROR(_xlfn.XLOOKUP(Pedido891011121412131617181921192223[[#This Row],[Id de Producto]],[1]!Precios[[#All],[Id de Producto]],[1]!Precios[[#All],[Coste estándar]])*Pedido891011121412131617181921192223[[#This Row],[Pedido]],0)</f>
        <v>0</v>
      </c>
      <c r="H452" s="18">
        <v>0</v>
      </c>
      <c r="I452" s="16" t="s">
        <v>255</v>
      </c>
      <c r="J452" s="1"/>
      <c r="K452" s="1"/>
      <c r="L452" s="1"/>
      <c r="M452" s="1"/>
      <c r="N452" s="1"/>
    </row>
    <row r="453" spans="1:14" hidden="1" x14ac:dyDescent="0.25">
      <c r="A453" s="1"/>
      <c r="B453" s="16" t="s">
        <v>255</v>
      </c>
      <c r="C453" s="15" t="s">
        <v>920</v>
      </c>
      <c r="D453" s="15" t="s">
        <v>921</v>
      </c>
      <c r="E453" s="16" t="s">
        <v>18</v>
      </c>
      <c r="F453" s="17"/>
      <c r="G453" cm="1">
        <f t="array" ref="G453">IFERROR(_xlfn.XLOOKUP(Pedido891011121412131617181921192223[[#This Row],[Id de Producto]],[1]!Precios[[#All],[Id de Producto]],[1]!Precios[[#All],[Coste estándar]])*Pedido891011121412131617181921192223[[#This Row],[Pedido]],0)</f>
        <v>0</v>
      </c>
      <c r="H453" s="18">
        <v>0</v>
      </c>
      <c r="I453" s="16" t="s">
        <v>255</v>
      </c>
      <c r="J453" s="1"/>
      <c r="K453" s="1"/>
      <c r="L453" s="1"/>
      <c r="M453" s="1"/>
      <c r="N453" s="1"/>
    </row>
    <row r="454" spans="1:14" hidden="1" x14ac:dyDescent="0.25">
      <c r="A454" s="1"/>
      <c r="B454" s="16" t="s">
        <v>255</v>
      </c>
      <c r="C454" s="15" t="s">
        <v>922</v>
      </c>
      <c r="D454" s="15" t="s">
        <v>923</v>
      </c>
      <c r="E454" s="16" t="s">
        <v>18</v>
      </c>
      <c r="F454" s="17"/>
      <c r="G454" cm="1">
        <f t="array" ref="G454">IFERROR(_xlfn.XLOOKUP(Pedido891011121412131617181921192223[[#This Row],[Id de Producto]],[1]!Precios[[#All],[Id de Producto]],[1]!Precios[[#All],[Coste estándar]])*Pedido891011121412131617181921192223[[#This Row],[Pedido]],0)</f>
        <v>0</v>
      </c>
      <c r="H454" s="18">
        <v>0</v>
      </c>
      <c r="I454" s="16" t="s">
        <v>255</v>
      </c>
      <c r="J454" s="1"/>
      <c r="K454" s="1"/>
      <c r="L454" s="1"/>
      <c r="M454" s="1"/>
      <c r="N454" s="1"/>
    </row>
    <row r="455" spans="1:14" x14ac:dyDescent="0.25">
      <c r="A455" s="1"/>
      <c r="B455" s="16" t="s">
        <v>15</v>
      </c>
      <c r="C455" s="15" t="s">
        <v>924</v>
      </c>
      <c r="D455" s="15" t="s">
        <v>925</v>
      </c>
      <c r="E455" s="16" t="s">
        <v>18</v>
      </c>
      <c r="F455" s="17"/>
      <c r="G455" cm="1">
        <f t="array" ref="G455">IFERROR(_xlfn.XLOOKUP(Pedido891011121412131617181921192223[[#This Row],[Id de Producto]],[1]!Precios[[#All],[Id de Producto]],[1]!Precios[[#All],[Coste estándar]])*Pedido891011121412131617181921192223[[#This Row],[Pedido]],0)</f>
        <v>0</v>
      </c>
      <c r="H455" s="18">
        <v>0</v>
      </c>
      <c r="I455" s="16" t="s">
        <v>15</v>
      </c>
      <c r="J455" s="1"/>
      <c r="K455" s="1"/>
      <c r="L455" s="1"/>
      <c r="M455" s="1"/>
      <c r="N455" s="1"/>
    </row>
    <row r="456" spans="1:14" hidden="1" x14ac:dyDescent="0.25">
      <c r="A456" s="1"/>
      <c r="B456" s="16" t="s">
        <v>255</v>
      </c>
      <c r="C456" s="15" t="s">
        <v>926</v>
      </c>
      <c r="D456" s="15" t="s">
        <v>927</v>
      </c>
      <c r="E456" s="16" t="s">
        <v>18</v>
      </c>
      <c r="F456" s="17"/>
      <c r="G456" cm="1">
        <f t="array" ref="G456">IFERROR(_xlfn.XLOOKUP(Pedido891011121412131617181921192223[[#This Row],[Id de Producto]],[1]!Precios[[#All],[Id de Producto]],[1]!Precios[[#All],[Coste estándar]])*Pedido891011121412131617181921192223[[#This Row],[Pedido]],0)</f>
        <v>0</v>
      </c>
      <c r="H456" s="18">
        <v>0</v>
      </c>
      <c r="I456" s="16" t="s">
        <v>255</v>
      </c>
      <c r="J456" s="1"/>
      <c r="K456" s="1"/>
      <c r="L456" s="1"/>
      <c r="M456" s="1"/>
      <c r="N456" s="1"/>
    </row>
    <row r="457" spans="1:14" hidden="1" x14ac:dyDescent="0.25">
      <c r="A457" s="1"/>
      <c r="B457" s="16" t="s">
        <v>255</v>
      </c>
      <c r="C457" s="15" t="s">
        <v>928</v>
      </c>
      <c r="D457" s="15" t="s">
        <v>929</v>
      </c>
      <c r="E457" s="16" t="s">
        <v>18</v>
      </c>
      <c r="F457" s="17"/>
      <c r="G457" cm="1">
        <f t="array" ref="G457">IFERROR(_xlfn.XLOOKUP(Pedido891011121412131617181921192223[[#This Row],[Id de Producto]],[1]!Precios[[#All],[Id de Producto]],[1]!Precios[[#All],[Coste estándar]])*Pedido891011121412131617181921192223[[#This Row],[Pedido]],0)</f>
        <v>0</v>
      </c>
      <c r="H457" s="18">
        <v>0</v>
      </c>
      <c r="I457" s="16" t="s">
        <v>255</v>
      </c>
      <c r="J457" s="1"/>
      <c r="K457" s="1"/>
      <c r="L457" s="1"/>
      <c r="M457" s="1"/>
      <c r="N457" s="1"/>
    </row>
    <row r="458" spans="1:14" x14ac:dyDescent="0.25">
      <c r="A458" s="1"/>
      <c r="B458" s="16" t="s">
        <v>15</v>
      </c>
      <c r="C458" s="15" t="s">
        <v>930</v>
      </c>
      <c r="D458" s="15" t="s">
        <v>931</v>
      </c>
      <c r="E458" s="16" t="s">
        <v>18</v>
      </c>
      <c r="F458" s="17"/>
      <c r="G458" cm="1">
        <f t="array" ref="G458">IFERROR(_xlfn.XLOOKUP(Pedido891011121412131617181921192223[[#This Row],[Id de Producto]],[1]!Precios[[#All],[Id de Producto]],[1]!Precios[[#All],[Coste estándar]])*Pedido891011121412131617181921192223[[#This Row],[Pedido]],0)</f>
        <v>0</v>
      </c>
      <c r="H458" s="18">
        <v>0</v>
      </c>
      <c r="I458" s="16" t="s">
        <v>15</v>
      </c>
      <c r="J458" s="1"/>
      <c r="K458" s="1"/>
      <c r="L458" s="1"/>
      <c r="M458" s="1"/>
      <c r="N458" s="1"/>
    </row>
    <row r="459" spans="1:14" hidden="1" x14ac:dyDescent="0.25">
      <c r="A459" s="1"/>
      <c r="B459" s="16" t="s">
        <v>105</v>
      </c>
      <c r="C459" s="15" t="s">
        <v>932</v>
      </c>
      <c r="D459" s="15" t="s">
        <v>933</v>
      </c>
      <c r="E459" s="16" t="s">
        <v>108</v>
      </c>
      <c r="F459" s="17"/>
      <c r="G459" cm="1">
        <f t="array" ref="G459">IFERROR(_xlfn.XLOOKUP(Pedido891011121412131617181921192223[[#This Row],[Id de Producto]],[1]!Precios[[#All],[Id de Producto]],[1]!Precios[[#All],[Coste estándar]])*Pedido891011121412131617181921192223[[#This Row],[Pedido]],0)</f>
        <v>0</v>
      </c>
      <c r="H459" s="18">
        <v>0</v>
      </c>
      <c r="I459" s="16" t="s">
        <v>105</v>
      </c>
      <c r="J459" s="1"/>
      <c r="K459" s="1"/>
      <c r="L459" s="1"/>
      <c r="M459" s="1"/>
      <c r="N459" s="1"/>
    </row>
    <row r="460" spans="1:14" hidden="1" x14ac:dyDescent="0.25">
      <c r="A460" s="1"/>
      <c r="B460" s="16" t="s">
        <v>105</v>
      </c>
      <c r="C460" s="15" t="s">
        <v>934</v>
      </c>
      <c r="D460" s="15" t="s">
        <v>935</v>
      </c>
      <c r="E460" s="16" t="s">
        <v>108</v>
      </c>
      <c r="F460" s="17"/>
      <c r="G460" cm="1">
        <f t="array" ref="G460">IFERROR(_xlfn.XLOOKUP(Pedido891011121412131617181921192223[[#This Row],[Id de Producto]],[1]!Precios[[#All],[Id de Producto]],[1]!Precios[[#All],[Coste estándar]])*Pedido891011121412131617181921192223[[#This Row],[Pedido]],0)</f>
        <v>0</v>
      </c>
      <c r="H460" s="18">
        <v>0</v>
      </c>
      <c r="I460" s="16" t="s">
        <v>105</v>
      </c>
      <c r="J460" s="1"/>
      <c r="K460" s="1"/>
      <c r="L460" s="1"/>
      <c r="M460" s="1"/>
      <c r="N460" s="1"/>
    </row>
    <row r="461" spans="1:14" hidden="1" x14ac:dyDescent="0.25">
      <c r="A461" s="1"/>
      <c r="B461" s="16" t="s">
        <v>105</v>
      </c>
      <c r="C461" s="15" t="s">
        <v>936</v>
      </c>
      <c r="D461" s="15" t="s">
        <v>937</v>
      </c>
      <c r="E461" s="16" t="s">
        <v>108</v>
      </c>
      <c r="F461" s="17"/>
      <c r="G461" cm="1">
        <f t="array" ref="G461">IFERROR(_xlfn.XLOOKUP(Pedido891011121412131617181921192223[[#This Row],[Id de Producto]],[1]!Precios[[#All],[Id de Producto]],[1]!Precios[[#All],[Coste estándar]])*Pedido891011121412131617181921192223[[#This Row],[Pedido]],0)</f>
        <v>0</v>
      </c>
      <c r="H461" s="18">
        <v>0</v>
      </c>
      <c r="I461" s="16" t="s">
        <v>105</v>
      </c>
      <c r="J461" s="1"/>
      <c r="K461" s="1"/>
      <c r="L461" s="1"/>
      <c r="M461" s="1"/>
      <c r="N461" s="1"/>
    </row>
    <row r="462" spans="1:14" hidden="1" x14ac:dyDescent="0.25">
      <c r="A462" s="1"/>
      <c r="B462" s="16" t="s">
        <v>105</v>
      </c>
      <c r="C462" s="15" t="s">
        <v>938</v>
      </c>
      <c r="D462" s="15" t="s">
        <v>939</v>
      </c>
      <c r="E462" s="16" t="s">
        <v>108</v>
      </c>
      <c r="F462" s="17"/>
      <c r="G462" cm="1">
        <f t="array" ref="G462">IFERROR(_xlfn.XLOOKUP(Pedido891011121412131617181921192223[[#This Row],[Id de Producto]],[1]!Precios[[#All],[Id de Producto]],[1]!Precios[[#All],[Coste estándar]])*Pedido891011121412131617181921192223[[#This Row],[Pedido]],0)</f>
        <v>0</v>
      </c>
      <c r="H462" s="18">
        <v>0</v>
      </c>
      <c r="I462" s="16" t="s">
        <v>105</v>
      </c>
      <c r="J462" s="1"/>
      <c r="K462" s="1"/>
      <c r="L462" s="1"/>
      <c r="M462" s="1"/>
      <c r="N462" s="1"/>
    </row>
    <row r="463" spans="1:14" hidden="1" x14ac:dyDescent="0.25">
      <c r="A463" s="1"/>
      <c r="B463" s="16" t="s">
        <v>105</v>
      </c>
      <c r="C463" s="15" t="s">
        <v>940</v>
      </c>
      <c r="D463" s="15" t="s">
        <v>941</v>
      </c>
      <c r="E463" s="16" t="s">
        <v>108</v>
      </c>
      <c r="F463" s="17"/>
      <c r="G463" cm="1">
        <f t="array" ref="G463">IFERROR(_xlfn.XLOOKUP(Pedido891011121412131617181921192223[[#This Row],[Id de Producto]],[1]!Precios[[#All],[Id de Producto]],[1]!Precios[[#All],[Coste estándar]])*Pedido891011121412131617181921192223[[#This Row],[Pedido]],0)</f>
        <v>0</v>
      </c>
      <c r="H463" s="18">
        <v>0</v>
      </c>
      <c r="I463" s="16" t="s">
        <v>105</v>
      </c>
      <c r="J463" s="1"/>
      <c r="K463" s="1"/>
      <c r="L463" s="1"/>
      <c r="M463" s="1"/>
      <c r="N463" s="1"/>
    </row>
    <row r="464" spans="1:14" hidden="1" x14ac:dyDescent="0.25">
      <c r="A464" s="1"/>
      <c r="B464" s="16" t="s">
        <v>105</v>
      </c>
      <c r="C464" s="15" t="s">
        <v>942</v>
      </c>
      <c r="D464" s="15" t="s">
        <v>943</v>
      </c>
      <c r="E464" s="16" t="s">
        <v>108</v>
      </c>
      <c r="F464" s="17"/>
      <c r="G464" cm="1">
        <f t="array" ref="G464">IFERROR(_xlfn.XLOOKUP(Pedido891011121412131617181921192223[[#This Row],[Id de Producto]],[1]!Precios[[#All],[Id de Producto]],[1]!Precios[[#All],[Coste estándar]])*Pedido891011121412131617181921192223[[#This Row],[Pedido]],0)</f>
        <v>0</v>
      </c>
      <c r="H464" s="18">
        <v>0</v>
      </c>
      <c r="I464" s="16" t="s">
        <v>105</v>
      </c>
      <c r="J464" s="1"/>
      <c r="K464" s="1"/>
      <c r="L464" s="1"/>
      <c r="M464" s="1"/>
      <c r="N464" s="1"/>
    </row>
    <row r="465" spans="1:14" hidden="1" x14ac:dyDescent="0.25">
      <c r="A465" s="1"/>
      <c r="B465" s="16" t="s">
        <v>105</v>
      </c>
      <c r="C465" s="15" t="s">
        <v>944</v>
      </c>
      <c r="D465" s="15" t="s">
        <v>945</v>
      </c>
      <c r="E465" s="16" t="s">
        <v>108</v>
      </c>
      <c r="F465" s="17"/>
      <c r="G465" cm="1">
        <f t="array" ref="G465">IFERROR(_xlfn.XLOOKUP(Pedido891011121412131617181921192223[[#This Row],[Id de Producto]],[1]!Precios[[#All],[Id de Producto]],[1]!Precios[[#All],[Coste estándar]])*Pedido891011121412131617181921192223[[#This Row],[Pedido]],0)</f>
        <v>0</v>
      </c>
      <c r="H465" s="18">
        <v>0</v>
      </c>
      <c r="I465" s="16" t="s">
        <v>105</v>
      </c>
      <c r="J465" s="1"/>
      <c r="K465" s="1"/>
      <c r="L465" s="1"/>
      <c r="M465" s="1"/>
      <c r="N465" s="1"/>
    </row>
    <row r="466" spans="1:14" hidden="1" x14ac:dyDescent="0.25">
      <c r="A466" s="1"/>
      <c r="B466" s="15" t="s">
        <v>105</v>
      </c>
      <c r="C466" s="15" t="s">
        <v>946</v>
      </c>
      <c r="D466" s="15" t="s">
        <v>946</v>
      </c>
      <c r="E466" s="15" t="s">
        <v>108</v>
      </c>
      <c r="F466" s="17"/>
      <c r="G466" cm="1">
        <f t="array" ref="G466">IFERROR(_xlfn.XLOOKUP(Pedido891011121412131617181921192223[[#This Row],[Id de Producto]],[1]!Precios[[#All],[Id de Producto]],[1]!Precios[[#All],[Coste estándar]])*Pedido891011121412131617181921192223[[#This Row],[Pedido]],0)</f>
        <v>0</v>
      </c>
      <c r="H466" s="18">
        <v>0</v>
      </c>
      <c r="I466" s="16" t="s">
        <v>105</v>
      </c>
      <c r="J466" s="1"/>
      <c r="K466" s="1"/>
      <c r="L466" s="1"/>
      <c r="M466" s="1"/>
      <c r="N466" s="1"/>
    </row>
    <row r="467" spans="1:14" hidden="1" x14ac:dyDescent="0.25">
      <c r="A467" s="1"/>
      <c r="B467" s="15" t="s">
        <v>121</v>
      </c>
      <c r="C467" s="15" t="s">
        <v>947</v>
      </c>
      <c r="D467" s="15" t="s">
        <v>948</v>
      </c>
      <c r="E467" s="16" t="s">
        <v>22</v>
      </c>
      <c r="F467" s="17"/>
      <c r="G467" cm="1">
        <f t="array" ref="G467">IFERROR(_xlfn.XLOOKUP(Pedido891011121412131617181921192223[[#This Row],[Id de Producto]],[1]!Precios[[#All],[Id de Producto]],[1]!Precios[[#All],[Coste estándar]])*Pedido891011121412131617181921192223[[#This Row],[Pedido]],0)</f>
        <v>0</v>
      </c>
      <c r="H467" s="18">
        <v>0</v>
      </c>
      <c r="I467" s="15" t="s">
        <v>121</v>
      </c>
      <c r="J467" s="1"/>
      <c r="K467" s="1"/>
      <c r="L467" s="1"/>
      <c r="M467" s="1"/>
      <c r="N467" s="1"/>
    </row>
    <row r="468" spans="1:14" hidden="1" x14ac:dyDescent="0.25">
      <c r="A468" s="1"/>
      <c r="B468" s="15" t="s">
        <v>121</v>
      </c>
      <c r="C468" s="15" t="s">
        <v>949</v>
      </c>
      <c r="D468" s="15" t="s">
        <v>950</v>
      </c>
      <c r="E468" s="16" t="s">
        <v>22</v>
      </c>
      <c r="F468" s="17"/>
      <c r="G468" cm="1">
        <f t="array" ref="G468">IFERROR(_xlfn.XLOOKUP(Pedido891011121412131617181921192223[[#This Row],[Id de Producto]],[1]!Precios[[#All],[Id de Producto]],[1]!Precios[[#All],[Coste estándar]])*Pedido891011121412131617181921192223[[#This Row],[Pedido]],0)</f>
        <v>0</v>
      </c>
      <c r="H468" s="15">
        <v>0</v>
      </c>
      <c r="I468" s="15" t="s">
        <v>121</v>
      </c>
      <c r="J468" s="1"/>
      <c r="K468" s="1"/>
      <c r="L468" s="1"/>
      <c r="M468" s="1"/>
      <c r="N468" s="1"/>
    </row>
    <row r="469" spans="1:14" hidden="1" x14ac:dyDescent="0.25">
      <c r="A469" s="1"/>
      <c r="B469" s="15" t="s">
        <v>121</v>
      </c>
      <c r="C469" s="15" t="s">
        <v>951</v>
      </c>
      <c r="D469" s="15" t="s">
        <v>952</v>
      </c>
      <c r="E469" s="16" t="s">
        <v>22</v>
      </c>
      <c r="F469" s="17"/>
      <c r="G469" cm="1">
        <f t="array" ref="G469">IFERROR(_xlfn.XLOOKUP(Pedido891011121412131617181921192223[[#This Row],[Id de Producto]],[1]!Precios[[#All],[Id de Producto]],[1]!Precios[[#All],[Coste estándar]])*Pedido891011121412131617181921192223[[#This Row],[Pedido]],0)</f>
        <v>0</v>
      </c>
      <c r="H469" s="15">
        <v>0</v>
      </c>
      <c r="I469" s="15" t="s">
        <v>121</v>
      </c>
      <c r="J469" s="1"/>
      <c r="K469" s="1"/>
      <c r="L469" s="1"/>
      <c r="M469" s="1"/>
      <c r="N469" s="1"/>
    </row>
    <row r="470" spans="1:14" hidden="1" x14ac:dyDescent="0.25">
      <c r="A470" s="1"/>
      <c r="B470" s="15" t="s">
        <v>121</v>
      </c>
      <c r="C470" s="15" t="s">
        <v>953</v>
      </c>
      <c r="D470" s="15" t="s">
        <v>954</v>
      </c>
      <c r="E470" s="16" t="s">
        <v>26</v>
      </c>
      <c r="F470" s="17"/>
      <c r="G470" cm="1">
        <f t="array" ref="G470">IFERROR(_xlfn.XLOOKUP(Pedido891011121412131617181921192223[[#This Row],[Id de Producto]],[1]!Precios[[#All],[Id de Producto]],[1]!Precios[[#All],[Coste estándar]])*Pedido891011121412131617181921192223[[#This Row],[Pedido]],0)</f>
        <v>0</v>
      </c>
      <c r="H470" s="15">
        <v>0</v>
      </c>
      <c r="I470" s="15" t="s">
        <v>121</v>
      </c>
      <c r="J470" s="1"/>
      <c r="K470" s="1"/>
      <c r="L470" s="1"/>
      <c r="M470" s="1"/>
      <c r="N470" s="1"/>
    </row>
    <row r="471" spans="1:14" hidden="1" x14ac:dyDescent="0.25">
      <c r="A471" s="1"/>
      <c r="B471" s="16" t="s">
        <v>121</v>
      </c>
      <c r="C471" s="15" t="s">
        <v>955</v>
      </c>
      <c r="D471" s="15" t="s">
        <v>956</v>
      </c>
      <c r="E471" s="16" t="s">
        <v>22</v>
      </c>
      <c r="F471" s="17"/>
      <c r="G471" cm="1">
        <f t="array" ref="G471">IFERROR(_xlfn.XLOOKUP(Pedido891011121412131617181921192223[[#This Row],[Id de Producto]],[1]!Precios[[#All],[Id de Producto]],[1]!Precios[[#All],[Coste estándar]])*Pedido891011121412131617181921192223[[#This Row],[Pedido]],0)</f>
        <v>0</v>
      </c>
      <c r="H471" s="18">
        <v>0</v>
      </c>
      <c r="I471" s="15" t="s">
        <v>121</v>
      </c>
      <c r="J471" s="1"/>
      <c r="K471" s="1"/>
      <c r="L471" s="1"/>
      <c r="M471" s="1"/>
      <c r="N471" s="1"/>
    </row>
    <row r="472" spans="1:14" hidden="1" x14ac:dyDescent="0.25">
      <c r="A472" s="1"/>
      <c r="B472" s="15" t="s">
        <v>121</v>
      </c>
      <c r="C472" s="15" t="s">
        <v>957</v>
      </c>
      <c r="D472" s="15" t="s">
        <v>958</v>
      </c>
      <c r="E472" s="16" t="s">
        <v>22</v>
      </c>
      <c r="F472" s="17"/>
      <c r="G472" cm="1">
        <f t="array" ref="G472">IFERROR(_xlfn.XLOOKUP(Pedido891011121412131617181921192223[[#This Row],[Id de Producto]],[1]!Precios[[#All],[Id de Producto]],[1]!Precios[[#All],[Coste estándar]])*Pedido891011121412131617181921192223[[#This Row],[Pedido]],0)</f>
        <v>0</v>
      </c>
      <c r="H472" s="15">
        <v>0</v>
      </c>
      <c r="I472" s="15" t="s">
        <v>121</v>
      </c>
      <c r="J472" s="1"/>
      <c r="K472" s="1"/>
      <c r="L472" s="1"/>
      <c r="M472" s="1"/>
      <c r="N472" s="1"/>
    </row>
    <row r="473" spans="1:14" hidden="1" x14ac:dyDescent="0.25">
      <c r="A473" s="1"/>
      <c r="B473" s="16" t="s">
        <v>121</v>
      </c>
      <c r="C473" s="15" t="s">
        <v>959</v>
      </c>
      <c r="D473" s="15" t="s">
        <v>960</v>
      </c>
      <c r="E473" s="16" t="s">
        <v>18</v>
      </c>
      <c r="F473" s="17"/>
      <c r="G473" cm="1">
        <f t="array" ref="G473">IFERROR(_xlfn.XLOOKUP(Pedido891011121412131617181921192223[[#This Row],[Id de Producto]],[1]!Precios[[#All],[Id de Producto]],[1]!Precios[[#All],[Coste estándar]])*Pedido891011121412131617181921192223[[#This Row],[Pedido]],0)</f>
        <v>0</v>
      </c>
      <c r="H473" s="18">
        <v>0</v>
      </c>
      <c r="I473" s="15" t="s">
        <v>121</v>
      </c>
      <c r="J473" s="1"/>
      <c r="K473" s="1"/>
      <c r="L473" s="1"/>
      <c r="M473" s="1"/>
      <c r="N473" s="1"/>
    </row>
    <row r="474" spans="1:14" hidden="1" x14ac:dyDescent="0.25">
      <c r="A474" s="1"/>
      <c r="B474" s="16" t="s">
        <v>121</v>
      </c>
      <c r="C474" s="15" t="s">
        <v>961</v>
      </c>
      <c r="D474" s="15" t="s">
        <v>835</v>
      </c>
      <c r="E474" s="16" t="s">
        <v>22</v>
      </c>
      <c r="F474" s="17"/>
      <c r="G474" cm="1">
        <f t="array" ref="G474">IFERROR(_xlfn.XLOOKUP(Pedido891011121412131617181921192223[[#This Row],[Id de Producto]],[1]!Precios[[#All],[Id de Producto]],[1]!Precios[[#All],[Coste estándar]])*Pedido891011121412131617181921192223[[#This Row],[Pedido]],0)</f>
        <v>0</v>
      </c>
      <c r="H474" s="18">
        <v>0</v>
      </c>
      <c r="I474" s="15" t="s">
        <v>121</v>
      </c>
      <c r="J474" s="1"/>
      <c r="K474" s="1"/>
      <c r="L474" s="1"/>
      <c r="M474" s="1"/>
      <c r="N474" s="1"/>
    </row>
    <row r="475" spans="1:14" hidden="1" x14ac:dyDescent="0.25">
      <c r="A475" s="1"/>
      <c r="B475" s="15" t="s">
        <v>121</v>
      </c>
      <c r="C475" s="15" t="s">
        <v>962</v>
      </c>
      <c r="D475" s="15" t="s">
        <v>963</v>
      </c>
      <c r="E475" s="16" t="s">
        <v>22</v>
      </c>
      <c r="F475" s="17"/>
      <c r="G475" cm="1">
        <f t="array" ref="G475">IFERROR(_xlfn.XLOOKUP(Pedido891011121412131617181921192223[[#This Row],[Id de Producto]],[1]!Precios[[#All],[Id de Producto]],[1]!Precios[[#All],[Coste estándar]])*Pedido891011121412131617181921192223[[#This Row],[Pedido]],0)</f>
        <v>0</v>
      </c>
      <c r="H475" s="15">
        <v>0</v>
      </c>
      <c r="I475" s="15" t="s">
        <v>121</v>
      </c>
      <c r="J475" s="1"/>
      <c r="K475" s="1"/>
      <c r="L475" s="1"/>
      <c r="M475" s="1"/>
      <c r="N475" s="1"/>
    </row>
    <row r="476" spans="1:14" hidden="1" x14ac:dyDescent="0.25">
      <c r="A476" s="1"/>
      <c r="B476" s="16" t="s">
        <v>121</v>
      </c>
      <c r="C476" s="15" t="s">
        <v>964</v>
      </c>
      <c r="D476" s="15" t="s">
        <v>965</v>
      </c>
      <c r="E476" s="16" t="s">
        <v>22</v>
      </c>
      <c r="F476" s="17"/>
      <c r="G476" cm="1">
        <f t="array" ref="G476">IFERROR(_xlfn.XLOOKUP(Pedido891011121412131617181921192223[[#This Row],[Id de Producto]],[1]!Precios[[#All],[Id de Producto]],[1]!Precios[[#All],[Coste estándar]])*Pedido891011121412131617181921192223[[#This Row],[Pedido]],0)</f>
        <v>0</v>
      </c>
      <c r="H476" s="18">
        <v>0</v>
      </c>
      <c r="I476" s="15" t="s">
        <v>121</v>
      </c>
      <c r="J476" s="1"/>
      <c r="K476" s="1"/>
      <c r="L476" s="1"/>
      <c r="M476" s="1"/>
      <c r="N476" s="1"/>
    </row>
    <row r="477" spans="1:14" hidden="1" x14ac:dyDescent="0.25">
      <c r="A477" s="1"/>
      <c r="B477" s="15" t="s">
        <v>121</v>
      </c>
      <c r="C477" s="15" t="s">
        <v>966</v>
      </c>
      <c r="D477" s="15" t="s">
        <v>967</v>
      </c>
      <c r="E477" s="16" t="s">
        <v>22</v>
      </c>
      <c r="F477" s="17"/>
      <c r="G477" cm="1">
        <f t="array" ref="G477">IFERROR(_xlfn.XLOOKUP(Pedido891011121412131617181921192223[[#This Row],[Id de Producto]],[1]!Precios[[#All],[Id de Producto]],[1]!Precios[[#All],[Coste estándar]])*Pedido891011121412131617181921192223[[#This Row],[Pedido]],0)</f>
        <v>0</v>
      </c>
      <c r="H477" s="15">
        <v>0</v>
      </c>
      <c r="I477" s="15" t="s">
        <v>121</v>
      </c>
      <c r="J477" s="1"/>
      <c r="K477" s="1"/>
      <c r="L477" s="1"/>
      <c r="M477" s="1"/>
      <c r="N477" s="1"/>
    </row>
    <row r="478" spans="1:14" hidden="1" x14ac:dyDescent="0.25">
      <c r="A478" s="1"/>
      <c r="B478" s="15" t="s">
        <v>121</v>
      </c>
      <c r="C478" s="15" t="s">
        <v>968</v>
      </c>
      <c r="D478" s="15" t="s">
        <v>969</v>
      </c>
      <c r="E478" s="16" t="s">
        <v>22</v>
      </c>
      <c r="F478" s="17"/>
      <c r="G478" cm="1">
        <f t="array" ref="G478">IFERROR(_xlfn.XLOOKUP(Pedido891011121412131617181921192223[[#This Row],[Id de Producto]],[1]!Precios[[#All],[Id de Producto]],[1]!Precios[[#All],[Coste estándar]])*Pedido891011121412131617181921192223[[#This Row],[Pedido]],0)</f>
        <v>0</v>
      </c>
      <c r="H478" s="15">
        <v>0</v>
      </c>
      <c r="I478" s="15" t="s">
        <v>121</v>
      </c>
      <c r="J478" s="1"/>
      <c r="K478" s="1"/>
      <c r="L478" s="1"/>
      <c r="M478" s="1"/>
      <c r="N478" s="1"/>
    </row>
    <row r="479" spans="1:14" hidden="1" x14ac:dyDescent="0.25">
      <c r="A479" s="1"/>
      <c r="B479" s="15" t="s">
        <v>121</v>
      </c>
      <c r="C479" s="15" t="s">
        <v>970</v>
      </c>
      <c r="D479" s="15" t="s">
        <v>971</v>
      </c>
      <c r="E479" s="16" t="s">
        <v>22</v>
      </c>
      <c r="F479" s="17"/>
      <c r="G479" cm="1">
        <f t="array" ref="G479">IFERROR(_xlfn.XLOOKUP(Pedido891011121412131617181921192223[[#This Row],[Id de Producto]],[1]!Precios[[#All],[Id de Producto]],[1]!Precios[[#All],[Coste estándar]])*Pedido891011121412131617181921192223[[#This Row],[Pedido]],0)</f>
        <v>0</v>
      </c>
      <c r="H479" s="15">
        <v>0</v>
      </c>
      <c r="I479" s="15" t="s">
        <v>121</v>
      </c>
      <c r="J479" s="1"/>
      <c r="K479" s="1"/>
      <c r="L479" s="1"/>
      <c r="M479" s="1"/>
      <c r="N479" s="1"/>
    </row>
    <row r="480" spans="1:14" hidden="1" x14ac:dyDescent="0.25">
      <c r="A480" s="1"/>
      <c r="B480" s="15" t="s">
        <v>121</v>
      </c>
      <c r="C480" s="15" t="s">
        <v>972</v>
      </c>
      <c r="D480" s="15" t="s">
        <v>973</v>
      </c>
      <c r="E480" s="16" t="s">
        <v>22</v>
      </c>
      <c r="F480" s="17"/>
      <c r="G480" cm="1">
        <f t="array" ref="G480">IFERROR(_xlfn.XLOOKUP(Pedido891011121412131617181921192223[[#This Row],[Id de Producto]],[1]!Precios[[#All],[Id de Producto]],[1]!Precios[[#All],[Coste estándar]])*Pedido891011121412131617181921192223[[#This Row],[Pedido]],0)</f>
        <v>0</v>
      </c>
      <c r="H480" s="15">
        <v>0</v>
      </c>
      <c r="I480" s="15" t="s">
        <v>121</v>
      </c>
      <c r="J480" s="1"/>
      <c r="K480" s="1"/>
      <c r="L480" s="1"/>
      <c r="M480" s="1"/>
      <c r="N480" s="1"/>
    </row>
    <row r="481" spans="1:14" hidden="1" x14ac:dyDescent="0.25">
      <c r="A481" s="1"/>
      <c r="B481" s="15" t="s">
        <v>121</v>
      </c>
      <c r="C481" s="15" t="s">
        <v>974</v>
      </c>
      <c r="D481" s="15" t="s">
        <v>975</v>
      </c>
      <c r="E481" s="16" t="s">
        <v>22</v>
      </c>
      <c r="F481" s="17"/>
      <c r="G481" cm="1">
        <f t="array" ref="G481">IFERROR(_xlfn.XLOOKUP(Pedido891011121412131617181921192223[[#This Row],[Id de Producto]],[1]!Precios[[#All],[Id de Producto]],[1]!Precios[[#All],[Coste estándar]])*Pedido891011121412131617181921192223[[#This Row],[Pedido]],0)</f>
        <v>0</v>
      </c>
      <c r="H481" s="15">
        <v>0</v>
      </c>
      <c r="I481" s="15" t="s">
        <v>121</v>
      </c>
      <c r="J481" s="1"/>
      <c r="K481" s="1"/>
      <c r="L481" s="1"/>
      <c r="M481" s="1"/>
      <c r="N481" s="1"/>
    </row>
    <row r="482" spans="1:14" hidden="1" x14ac:dyDescent="0.25">
      <c r="A482" s="1"/>
      <c r="B482" s="16" t="s">
        <v>121</v>
      </c>
      <c r="C482" s="15" t="s">
        <v>976</v>
      </c>
      <c r="D482" s="15" t="s">
        <v>977</v>
      </c>
      <c r="E482" s="16" t="s">
        <v>18</v>
      </c>
      <c r="F482" s="17"/>
      <c r="G482" cm="1">
        <f t="array" ref="G482">IFERROR(_xlfn.XLOOKUP(Pedido891011121412131617181921192223[[#This Row],[Id de Producto]],[1]!Precios[[#All],[Id de Producto]],[1]!Precios[[#All],[Coste estándar]])*Pedido891011121412131617181921192223[[#This Row],[Pedido]],0)</f>
        <v>0</v>
      </c>
      <c r="H482" s="18">
        <v>0</v>
      </c>
      <c r="I482" s="15" t="s">
        <v>121</v>
      </c>
      <c r="J482" s="1"/>
      <c r="K482" s="1"/>
      <c r="L482" s="1"/>
      <c r="M482" s="1"/>
      <c r="N482" s="1"/>
    </row>
    <row r="483" spans="1:14" hidden="1" x14ac:dyDescent="0.25">
      <c r="A483" s="1"/>
      <c r="B483" s="16" t="s">
        <v>121</v>
      </c>
      <c r="C483" s="15" t="s">
        <v>978</v>
      </c>
      <c r="D483" s="15" t="s">
        <v>979</v>
      </c>
      <c r="E483" s="16" t="s">
        <v>22</v>
      </c>
      <c r="F483" s="17"/>
      <c r="G483" cm="1">
        <f t="array" ref="G483">IFERROR(_xlfn.XLOOKUP(Pedido891011121412131617181921192223[[#This Row],[Id de Producto]],[1]!Precios[[#All],[Id de Producto]],[1]!Precios[[#All],[Coste estándar]])*Pedido891011121412131617181921192223[[#This Row],[Pedido]],0)</f>
        <v>0</v>
      </c>
      <c r="H483" s="18">
        <v>0</v>
      </c>
      <c r="I483" s="15" t="s">
        <v>121</v>
      </c>
      <c r="J483" s="1"/>
      <c r="K483" s="1"/>
      <c r="L483" s="1"/>
      <c r="M483" s="1"/>
      <c r="N483" s="1"/>
    </row>
    <row r="484" spans="1:14" hidden="1" x14ac:dyDescent="0.25">
      <c r="A484" s="1"/>
      <c r="B484" s="16" t="s">
        <v>121</v>
      </c>
      <c r="C484" s="15" t="s">
        <v>980</v>
      </c>
      <c r="D484" s="15" t="s">
        <v>229</v>
      </c>
      <c r="E484" s="16" t="s">
        <v>22</v>
      </c>
      <c r="F484" s="17"/>
      <c r="G484" cm="1">
        <f t="array" ref="G484">IFERROR(_xlfn.XLOOKUP(Pedido891011121412131617181921192223[[#This Row],[Id de Producto]],[1]!Precios[[#All],[Id de Producto]],[1]!Precios[[#All],[Coste estándar]])*Pedido891011121412131617181921192223[[#This Row],[Pedido]],0)</f>
        <v>0</v>
      </c>
      <c r="H484" s="18">
        <v>0</v>
      </c>
      <c r="I484" s="15" t="s">
        <v>121</v>
      </c>
      <c r="J484" s="1"/>
      <c r="K484" s="1"/>
      <c r="L484" s="1"/>
      <c r="M484" s="1"/>
      <c r="N484" s="1"/>
    </row>
    <row r="485" spans="1:14" hidden="1" x14ac:dyDescent="0.25">
      <c r="A485" s="1"/>
      <c r="B485" s="15" t="s">
        <v>121</v>
      </c>
      <c r="C485" s="15" t="s">
        <v>981</v>
      </c>
      <c r="D485" s="15" t="s">
        <v>982</v>
      </c>
      <c r="E485" s="16" t="s">
        <v>22</v>
      </c>
      <c r="F485" s="17"/>
      <c r="G485" cm="1">
        <f t="array" ref="G485">IFERROR(_xlfn.XLOOKUP(Pedido891011121412131617181921192223[[#This Row],[Id de Producto]],[1]!Precios[[#All],[Id de Producto]],[1]!Precios[[#All],[Coste estándar]])*Pedido891011121412131617181921192223[[#This Row],[Pedido]],0)</f>
        <v>0</v>
      </c>
      <c r="H485" s="15">
        <v>0</v>
      </c>
      <c r="I485" s="15" t="s">
        <v>121</v>
      </c>
      <c r="J485" s="1"/>
      <c r="K485" s="1"/>
      <c r="L485" s="1"/>
      <c r="M485" s="1"/>
      <c r="N485" s="1"/>
    </row>
    <row r="486" spans="1:14" hidden="1" x14ac:dyDescent="0.25">
      <c r="A486" s="1"/>
      <c r="B486" s="15" t="s">
        <v>121</v>
      </c>
      <c r="C486" s="15" t="s">
        <v>983</v>
      </c>
      <c r="D486" s="15" t="s">
        <v>984</v>
      </c>
      <c r="E486" s="16" t="s">
        <v>22</v>
      </c>
      <c r="F486" s="17"/>
      <c r="G486" cm="1">
        <f t="array" ref="G486">IFERROR(_xlfn.XLOOKUP(Pedido891011121412131617181921192223[[#This Row],[Id de Producto]],[1]!Precios[[#All],[Id de Producto]],[1]!Precios[[#All],[Coste estándar]])*Pedido891011121412131617181921192223[[#This Row],[Pedido]],0)</f>
        <v>0</v>
      </c>
      <c r="H486" s="15">
        <v>0</v>
      </c>
      <c r="I486" s="15" t="s">
        <v>121</v>
      </c>
      <c r="J486" s="1"/>
      <c r="K486" s="1"/>
      <c r="L486" s="1"/>
      <c r="M486" s="1"/>
      <c r="N486" s="1"/>
    </row>
    <row r="487" spans="1:14" hidden="1" x14ac:dyDescent="0.25">
      <c r="A487" s="1"/>
      <c r="B487" s="15" t="s">
        <v>121</v>
      </c>
      <c r="C487" s="15" t="s">
        <v>985</v>
      </c>
      <c r="D487" s="15" t="s">
        <v>986</v>
      </c>
      <c r="E487" s="16" t="s">
        <v>22</v>
      </c>
      <c r="F487" s="17"/>
      <c r="G487" cm="1">
        <f t="array" ref="G487">IFERROR(_xlfn.XLOOKUP(Pedido891011121412131617181921192223[[#This Row],[Id de Producto]],[1]!Precios[[#All],[Id de Producto]],[1]!Precios[[#All],[Coste estándar]])*Pedido891011121412131617181921192223[[#This Row],[Pedido]],0)</f>
        <v>0</v>
      </c>
      <c r="H487" s="15">
        <v>1</v>
      </c>
      <c r="I487" s="15" t="s">
        <v>121</v>
      </c>
      <c r="J487" s="1"/>
      <c r="K487" s="1"/>
      <c r="L487" s="1"/>
      <c r="M487" s="1"/>
      <c r="N487" s="1"/>
    </row>
    <row r="488" spans="1:14" hidden="1" x14ac:dyDescent="0.25">
      <c r="A488" s="1"/>
      <c r="B488" s="15" t="s">
        <v>121</v>
      </c>
      <c r="C488" s="15" t="s">
        <v>987</v>
      </c>
      <c r="D488" s="15" t="s">
        <v>988</v>
      </c>
      <c r="E488" s="16" t="s">
        <v>22</v>
      </c>
      <c r="F488" s="17"/>
      <c r="G488" cm="1">
        <f t="array" ref="G488">IFERROR(_xlfn.XLOOKUP(Pedido891011121412131617181921192223[[#This Row],[Id de Producto]],[1]!Precios[[#All],[Id de Producto]],[1]!Precios[[#All],[Coste estándar]])*Pedido891011121412131617181921192223[[#This Row],[Pedido]],0)</f>
        <v>0</v>
      </c>
      <c r="H488" s="15">
        <v>0</v>
      </c>
      <c r="I488" s="15" t="s">
        <v>121</v>
      </c>
      <c r="J488" s="1"/>
      <c r="K488" s="1"/>
      <c r="L488" s="1"/>
      <c r="M488" s="1"/>
      <c r="N488" s="1"/>
    </row>
    <row r="489" spans="1:14" hidden="1" x14ac:dyDescent="0.25">
      <c r="A489" s="1"/>
      <c r="B489" s="16" t="s">
        <v>121</v>
      </c>
      <c r="C489" s="15" t="s">
        <v>989</v>
      </c>
      <c r="D489" s="15" t="s">
        <v>990</v>
      </c>
      <c r="E489" s="16" t="s">
        <v>22</v>
      </c>
      <c r="F489" s="17"/>
      <c r="G489" cm="1">
        <f t="array" ref="G489">IFERROR(_xlfn.XLOOKUP(Pedido891011121412131617181921192223[[#This Row],[Id de Producto]],[1]!Precios[[#All],[Id de Producto]],[1]!Precios[[#All],[Coste estándar]])*Pedido891011121412131617181921192223[[#This Row],[Pedido]],0)</f>
        <v>0</v>
      </c>
      <c r="H489" s="18">
        <v>0</v>
      </c>
      <c r="I489" s="15" t="s">
        <v>121</v>
      </c>
      <c r="J489" s="1"/>
      <c r="K489" s="1"/>
      <c r="L489" s="1"/>
      <c r="M489" s="1"/>
      <c r="N489" s="1"/>
    </row>
    <row r="490" spans="1:14" hidden="1" x14ac:dyDescent="0.25">
      <c r="A490" s="1"/>
      <c r="B490" s="16" t="s">
        <v>121</v>
      </c>
      <c r="C490" s="15" t="s">
        <v>991</v>
      </c>
      <c r="D490" s="15" t="s">
        <v>992</v>
      </c>
      <c r="E490" s="16" t="s">
        <v>22</v>
      </c>
      <c r="F490" s="17"/>
      <c r="G490" cm="1">
        <f t="array" ref="G490">IFERROR(_xlfn.XLOOKUP(Pedido891011121412131617181921192223[[#This Row],[Id de Producto]],[1]!Precios[[#All],[Id de Producto]],[1]!Precios[[#All],[Coste estándar]])*Pedido891011121412131617181921192223[[#This Row],[Pedido]],0)</f>
        <v>0</v>
      </c>
      <c r="H490" s="18">
        <v>0</v>
      </c>
      <c r="I490" s="15" t="s">
        <v>121</v>
      </c>
      <c r="J490" s="1"/>
      <c r="K490" s="1"/>
      <c r="L490" s="1"/>
      <c r="M490" s="1"/>
      <c r="N490" s="1"/>
    </row>
    <row r="491" spans="1:14" hidden="1" x14ac:dyDescent="0.25">
      <c r="A491" s="1"/>
      <c r="B491" s="15" t="s">
        <v>121</v>
      </c>
      <c r="C491" s="15" t="s">
        <v>993</v>
      </c>
      <c r="D491" s="15" t="s">
        <v>994</v>
      </c>
      <c r="E491" s="16" t="s">
        <v>26</v>
      </c>
      <c r="F491" s="17"/>
      <c r="G491" cm="1">
        <f t="array" ref="G491">IFERROR(_xlfn.XLOOKUP(Pedido891011121412131617181921192223[[#This Row],[Id de Producto]],[1]!Precios[[#All],[Id de Producto]],[1]!Precios[[#All],[Coste estándar]])*Pedido891011121412131617181921192223[[#This Row],[Pedido]],0)</f>
        <v>0</v>
      </c>
      <c r="H491" s="15">
        <v>0</v>
      </c>
      <c r="I491" s="15" t="s">
        <v>121</v>
      </c>
      <c r="J491" s="1"/>
      <c r="K491" s="1"/>
      <c r="L491" s="1"/>
      <c r="M491" s="1"/>
      <c r="N491" s="1"/>
    </row>
    <row r="492" spans="1:14" hidden="1" x14ac:dyDescent="0.25">
      <c r="A492" s="1"/>
      <c r="B492" s="16" t="s">
        <v>121</v>
      </c>
      <c r="C492" s="15" t="s">
        <v>995</v>
      </c>
      <c r="D492" s="15" t="s">
        <v>996</v>
      </c>
      <c r="E492" s="16" t="s">
        <v>18</v>
      </c>
      <c r="F492" s="17"/>
      <c r="G492" cm="1">
        <f t="array" ref="G492">IFERROR(_xlfn.XLOOKUP(Pedido891011121412131617181921192223[[#This Row],[Id de Producto]],[1]!Precios[[#All],[Id de Producto]],[1]!Precios[[#All],[Coste estándar]])*Pedido891011121412131617181921192223[[#This Row],[Pedido]],0)</f>
        <v>0</v>
      </c>
      <c r="H492" s="18">
        <v>0</v>
      </c>
      <c r="I492" s="15" t="s">
        <v>121</v>
      </c>
      <c r="J492" s="1"/>
      <c r="K492" s="1"/>
      <c r="L492" s="1"/>
      <c r="M492" s="1"/>
      <c r="N492" s="1"/>
    </row>
    <row r="493" spans="1:14" hidden="1" x14ac:dyDescent="0.25">
      <c r="A493" s="1"/>
      <c r="B493" s="16" t="s">
        <v>121</v>
      </c>
      <c r="C493" s="15" t="s">
        <v>997</v>
      </c>
      <c r="D493" s="15" t="s">
        <v>998</v>
      </c>
      <c r="E493" s="16" t="s">
        <v>22</v>
      </c>
      <c r="F493" s="17"/>
      <c r="G493" cm="1">
        <f t="array" ref="G493">IFERROR(_xlfn.XLOOKUP(Pedido891011121412131617181921192223[[#This Row],[Id de Producto]],[1]!Precios[[#All],[Id de Producto]],[1]!Precios[[#All],[Coste estándar]])*Pedido891011121412131617181921192223[[#This Row],[Pedido]],0)</f>
        <v>0</v>
      </c>
      <c r="H493" s="18">
        <v>0</v>
      </c>
      <c r="I493" s="15" t="s">
        <v>121</v>
      </c>
      <c r="J493" s="1"/>
      <c r="K493" s="1"/>
      <c r="L493" s="1"/>
      <c r="M493" s="1"/>
      <c r="N493" s="1"/>
    </row>
    <row r="494" spans="1:14" hidden="1" x14ac:dyDescent="0.25">
      <c r="A494" s="1"/>
      <c r="B494" s="16" t="s">
        <v>121</v>
      </c>
      <c r="C494" s="15" t="s">
        <v>999</v>
      </c>
      <c r="D494" s="15" t="s">
        <v>1000</v>
      </c>
      <c r="E494" s="16" t="s">
        <v>22</v>
      </c>
      <c r="F494" s="17"/>
      <c r="G494" cm="1">
        <f t="array" ref="G494">IFERROR(_xlfn.XLOOKUP(Pedido891011121412131617181921192223[[#This Row],[Id de Producto]],[1]!Precios[[#All],[Id de Producto]],[1]!Precios[[#All],[Coste estándar]])*Pedido891011121412131617181921192223[[#This Row],[Pedido]],0)</f>
        <v>0</v>
      </c>
      <c r="H494" s="18">
        <v>0</v>
      </c>
      <c r="I494" s="15" t="s">
        <v>121</v>
      </c>
      <c r="J494" s="1"/>
      <c r="K494" s="1"/>
      <c r="L494" s="1"/>
      <c r="M494" s="1"/>
      <c r="N494" s="1"/>
    </row>
    <row r="495" spans="1:14" hidden="1" x14ac:dyDescent="0.25">
      <c r="A495" s="1"/>
      <c r="B495" s="16" t="s">
        <v>121</v>
      </c>
      <c r="C495" s="15" t="s">
        <v>1001</v>
      </c>
      <c r="D495" s="15" t="s">
        <v>1002</v>
      </c>
      <c r="E495" s="16" t="s">
        <v>26</v>
      </c>
      <c r="F495" s="17"/>
      <c r="G495" cm="1">
        <f t="array" ref="G495">IFERROR(_xlfn.XLOOKUP(Pedido891011121412131617181921192223[[#This Row],[Id de Producto]],[1]!Precios[[#All],[Id de Producto]],[1]!Precios[[#All],[Coste estándar]])*Pedido891011121412131617181921192223[[#This Row],[Pedido]],0)</f>
        <v>0</v>
      </c>
      <c r="H495" s="18">
        <v>0</v>
      </c>
      <c r="I495" s="15" t="s">
        <v>121</v>
      </c>
      <c r="J495" s="1"/>
      <c r="K495" s="1"/>
      <c r="L495" s="1"/>
      <c r="M495" s="1"/>
      <c r="N495" s="1"/>
    </row>
    <row r="496" spans="1:14" hidden="1" x14ac:dyDescent="0.25">
      <c r="A496" s="1"/>
      <c r="B496" s="15" t="s">
        <v>121</v>
      </c>
      <c r="C496" s="15" t="s">
        <v>1003</v>
      </c>
      <c r="D496" s="15" t="s">
        <v>1004</v>
      </c>
      <c r="E496" s="16" t="s">
        <v>22</v>
      </c>
      <c r="F496" s="17"/>
      <c r="G496" cm="1">
        <f t="array" ref="G496">IFERROR(_xlfn.XLOOKUP(Pedido891011121412131617181921192223[[#This Row],[Id de Producto]],[1]!Precios[[#All],[Id de Producto]],[1]!Precios[[#All],[Coste estándar]])*Pedido891011121412131617181921192223[[#This Row],[Pedido]],0)</f>
        <v>0</v>
      </c>
      <c r="H496" s="15">
        <v>0</v>
      </c>
      <c r="I496" s="15" t="s">
        <v>121</v>
      </c>
      <c r="J496" s="1"/>
      <c r="K496" s="1"/>
      <c r="L496" s="1"/>
      <c r="M496" s="1"/>
      <c r="N496" s="1"/>
    </row>
    <row r="497" spans="1:14" hidden="1" x14ac:dyDescent="0.25">
      <c r="A497" s="1"/>
      <c r="B497" s="15" t="s">
        <v>121</v>
      </c>
      <c r="C497" s="15" t="s">
        <v>1005</v>
      </c>
      <c r="D497" s="15" t="s">
        <v>1006</v>
      </c>
      <c r="E497" s="16" t="s">
        <v>22</v>
      </c>
      <c r="F497" s="17"/>
      <c r="G497" cm="1">
        <f t="array" ref="G497">IFERROR(_xlfn.XLOOKUP(Pedido891011121412131617181921192223[[#This Row],[Id de Producto]],[1]!Precios[[#All],[Id de Producto]],[1]!Precios[[#All],[Coste estándar]])*Pedido891011121412131617181921192223[[#This Row],[Pedido]],0)</f>
        <v>0</v>
      </c>
      <c r="H497" s="15">
        <v>0</v>
      </c>
      <c r="I497" s="15" t="s">
        <v>121</v>
      </c>
      <c r="J497" s="1"/>
      <c r="K497" s="1"/>
      <c r="L497" s="1"/>
      <c r="M497" s="1"/>
      <c r="N497" s="1"/>
    </row>
    <row r="498" spans="1:14" hidden="1" x14ac:dyDescent="0.25">
      <c r="A498" s="1"/>
      <c r="B498" s="16" t="s">
        <v>121</v>
      </c>
      <c r="C498" s="15" t="s">
        <v>1007</v>
      </c>
      <c r="D498" s="15" t="s">
        <v>1008</v>
      </c>
      <c r="E498" s="16" t="s">
        <v>18</v>
      </c>
      <c r="F498" s="17"/>
      <c r="G498" cm="1">
        <f t="array" ref="G498">IFERROR(_xlfn.XLOOKUP(Pedido891011121412131617181921192223[[#This Row],[Id de Producto]],[1]!Precios[[#All],[Id de Producto]],[1]!Precios[[#All],[Coste estándar]])*Pedido891011121412131617181921192223[[#This Row],[Pedido]],0)</f>
        <v>0</v>
      </c>
      <c r="H498" s="18">
        <v>0</v>
      </c>
      <c r="I498" s="15" t="s">
        <v>121</v>
      </c>
      <c r="J498" s="1"/>
      <c r="K498" s="1"/>
      <c r="L498" s="1"/>
      <c r="M498" s="1"/>
      <c r="N498" s="1"/>
    </row>
    <row r="499" spans="1:14" hidden="1" x14ac:dyDescent="0.25">
      <c r="A499" s="1"/>
      <c r="B499" s="16" t="s">
        <v>121</v>
      </c>
      <c r="C499" s="15" t="s">
        <v>1009</v>
      </c>
      <c r="D499" s="15" t="s">
        <v>1010</v>
      </c>
      <c r="E499" s="16" t="s">
        <v>18</v>
      </c>
      <c r="F499" s="17"/>
      <c r="G499" cm="1">
        <f t="array" ref="G499">IFERROR(_xlfn.XLOOKUP(Pedido891011121412131617181921192223[[#This Row],[Id de Producto]],[1]!Precios[[#All],[Id de Producto]],[1]!Precios[[#All],[Coste estándar]])*Pedido891011121412131617181921192223[[#This Row],[Pedido]],0)</f>
        <v>0</v>
      </c>
      <c r="H499" s="18">
        <v>0</v>
      </c>
      <c r="I499" s="15" t="s">
        <v>121</v>
      </c>
      <c r="J499" s="1"/>
      <c r="K499" s="1"/>
      <c r="L499" s="1"/>
      <c r="M499" s="1"/>
      <c r="N499" s="1"/>
    </row>
    <row r="500" spans="1:14" hidden="1" x14ac:dyDescent="0.25">
      <c r="A500" s="1"/>
      <c r="B500" s="15" t="s">
        <v>121</v>
      </c>
      <c r="C500" s="15" t="s">
        <v>1011</v>
      </c>
      <c r="D500" s="15" t="s">
        <v>1012</v>
      </c>
      <c r="E500" s="16" t="s">
        <v>22</v>
      </c>
      <c r="F500" s="17"/>
      <c r="G500" cm="1">
        <f t="array" ref="G500">IFERROR(_xlfn.XLOOKUP(Pedido891011121412131617181921192223[[#This Row],[Id de Producto]],[1]!Precios[[#All],[Id de Producto]],[1]!Precios[[#All],[Coste estándar]])*Pedido891011121412131617181921192223[[#This Row],[Pedido]],0)</f>
        <v>0</v>
      </c>
      <c r="H500" s="15">
        <v>0</v>
      </c>
      <c r="I500" s="15" t="s">
        <v>121</v>
      </c>
      <c r="J500" s="1"/>
      <c r="K500" s="1"/>
      <c r="L500" s="1"/>
      <c r="M500" s="1"/>
      <c r="N500" s="1"/>
    </row>
    <row r="501" spans="1:14" hidden="1" x14ac:dyDescent="0.25">
      <c r="A501" s="1"/>
      <c r="B501" s="15" t="s">
        <v>121</v>
      </c>
      <c r="C501" s="15" t="s">
        <v>1013</v>
      </c>
      <c r="D501" s="15" t="s">
        <v>1014</v>
      </c>
      <c r="E501" s="16" t="s">
        <v>22</v>
      </c>
      <c r="F501" s="17"/>
      <c r="G501" cm="1">
        <f t="array" ref="G501">IFERROR(_xlfn.XLOOKUP(Pedido891011121412131617181921192223[[#This Row],[Id de Producto]],[1]!Precios[[#All],[Id de Producto]],[1]!Precios[[#All],[Coste estándar]])*Pedido891011121412131617181921192223[[#This Row],[Pedido]],0)</f>
        <v>0</v>
      </c>
      <c r="H501" s="15">
        <v>0</v>
      </c>
      <c r="I501" s="15" t="s">
        <v>121</v>
      </c>
      <c r="J501" s="1"/>
      <c r="K501" s="1"/>
      <c r="L501" s="1"/>
      <c r="M501" s="1"/>
      <c r="N501" s="1"/>
    </row>
    <row r="502" spans="1:14" hidden="1" x14ac:dyDescent="0.25">
      <c r="A502" s="1"/>
      <c r="B502" s="15" t="s">
        <v>121</v>
      </c>
      <c r="C502" s="15" t="s">
        <v>1015</v>
      </c>
      <c r="D502" s="15" t="s">
        <v>1016</v>
      </c>
      <c r="E502" s="16" t="s">
        <v>22</v>
      </c>
      <c r="F502" s="17"/>
      <c r="G502" cm="1">
        <f t="array" ref="G502">IFERROR(_xlfn.XLOOKUP(Pedido891011121412131617181921192223[[#This Row],[Id de Producto]],[1]!Precios[[#All],[Id de Producto]],[1]!Precios[[#All],[Coste estándar]])*Pedido891011121412131617181921192223[[#This Row],[Pedido]],0)</f>
        <v>0</v>
      </c>
      <c r="H502" s="15">
        <v>0</v>
      </c>
      <c r="I502" s="15" t="s">
        <v>121</v>
      </c>
      <c r="J502" s="1"/>
      <c r="K502" s="1"/>
      <c r="L502" s="1"/>
      <c r="M502" s="1"/>
      <c r="N502" s="1"/>
    </row>
    <row r="503" spans="1:14" hidden="1" x14ac:dyDescent="0.25">
      <c r="A503" s="1"/>
      <c r="B503" s="15" t="s">
        <v>121</v>
      </c>
      <c r="C503" s="15" t="s">
        <v>1017</v>
      </c>
      <c r="D503" s="15" t="s">
        <v>1018</v>
      </c>
      <c r="E503" s="16" t="s">
        <v>22</v>
      </c>
      <c r="F503" s="17"/>
      <c r="G503" cm="1">
        <f t="array" ref="G503">IFERROR(_xlfn.XLOOKUP(Pedido891011121412131617181921192223[[#This Row],[Id de Producto]],[1]!Precios[[#All],[Id de Producto]],[1]!Precios[[#All],[Coste estándar]])*Pedido891011121412131617181921192223[[#This Row],[Pedido]],0)</f>
        <v>0</v>
      </c>
      <c r="H503" s="15">
        <v>0</v>
      </c>
      <c r="I503" s="15" t="s">
        <v>121</v>
      </c>
      <c r="J503" s="1"/>
      <c r="K503" s="1"/>
      <c r="L503" s="1"/>
      <c r="M503" s="1"/>
      <c r="N503" s="1"/>
    </row>
    <row r="504" spans="1:14" hidden="1" x14ac:dyDescent="0.25">
      <c r="A504" s="1"/>
      <c r="B504" s="15" t="s">
        <v>121</v>
      </c>
      <c r="C504" s="15" t="s">
        <v>1019</v>
      </c>
      <c r="D504" s="15" t="s">
        <v>1020</v>
      </c>
      <c r="E504" s="16" t="s">
        <v>26</v>
      </c>
      <c r="F504" s="17"/>
      <c r="G504" cm="1">
        <f t="array" ref="G504">IFERROR(_xlfn.XLOOKUP(Pedido891011121412131617181921192223[[#This Row],[Id de Producto]],[1]!Precios[[#All],[Id de Producto]],[1]!Precios[[#All],[Coste estándar]])*Pedido891011121412131617181921192223[[#This Row],[Pedido]],0)</f>
        <v>0</v>
      </c>
      <c r="H504" s="15">
        <v>0</v>
      </c>
      <c r="I504" s="15" t="s">
        <v>121</v>
      </c>
      <c r="J504" s="1"/>
      <c r="K504" s="1"/>
      <c r="L504" s="1"/>
      <c r="M504" s="1"/>
      <c r="N504" s="1"/>
    </row>
    <row r="505" spans="1:14" hidden="1" x14ac:dyDescent="0.25">
      <c r="A505" s="1"/>
      <c r="B505" s="15" t="s">
        <v>121</v>
      </c>
      <c r="C505" s="15" t="s">
        <v>1021</v>
      </c>
      <c r="D505" s="15" t="s">
        <v>1022</v>
      </c>
      <c r="E505" s="16" t="s">
        <v>22</v>
      </c>
      <c r="F505" s="17"/>
      <c r="G505" cm="1">
        <f t="array" ref="G505">IFERROR(_xlfn.XLOOKUP(Pedido891011121412131617181921192223[[#This Row],[Id de Producto]],[1]!Precios[[#All],[Id de Producto]],[1]!Precios[[#All],[Coste estándar]])*Pedido891011121412131617181921192223[[#This Row],[Pedido]],0)</f>
        <v>0</v>
      </c>
      <c r="H505" s="15">
        <v>0</v>
      </c>
      <c r="I505" s="15" t="s">
        <v>121</v>
      </c>
      <c r="J505" s="1"/>
      <c r="K505" s="1"/>
      <c r="L505" s="1"/>
      <c r="M505" s="1"/>
      <c r="N505" s="1"/>
    </row>
    <row r="506" spans="1:14" hidden="1" x14ac:dyDescent="0.25">
      <c r="A506" s="1"/>
      <c r="B506" s="15" t="s">
        <v>121</v>
      </c>
      <c r="C506" s="15" t="s">
        <v>1023</v>
      </c>
      <c r="D506" s="15" t="s">
        <v>1024</v>
      </c>
      <c r="E506" s="16" t="s">
        <v>22</v>
      </c>
      <c r="F506" s="17"/>
      <c r="G506" cm="1">
        <f t="array" ref="G506">IFERROR(_xlfn.XLOOKUP(Pedido891011121412131617181921192223[[#This Row],[Id de Producto]],[1]!Precios[[#All],[Id de Producto]],[1]!Precios[[#All],[Coste estándar]])*Pedido891011121412131617181921192223[[#This Row],[Pedido]],0)</f>
        <v>0</v>
      </c>
      <c r="H506" s="15">
        <v>0</v>
      </c>
      <c r="I506" s="15" t="s">
        <v>121</v>
      </c>
      <c r="J506" s="1"/>
      <c r="K506" s="1"/>
      <c r="L506" s="1"/>
      <c r="M506" s="1"/>
      <c r="N506" s="1"/>
    </row>
    <row r="507" spans="1:14" hidden="1" x14ac:dyDescent="0.25">
      <c r="A507" s="1"/>
      <c r="B507" s="15" t="s">
        <v>121</v>
      </c>
      <c r="C507" s="15" t="s">
        <v>1025</v>
      </c>
      <c r="D507" s="15" t="s">
        <v>1026</v>
      </c>
      <c r="E507" s="16" t="s">
        <v>22</v>
      </c>
      <c r="F507" s="17"/>
      <c r="G507" cm="1">
        <f t="array" ref="G507">IFERROR(_xlfn.XLOOKUP(Pedido891011121412131617181921192223[[#This Row],[Id de Producto]],[1]!Precios[[#All],[Id de Producto]],[1]!Precios[[#All],[Coste estándar]])*Pedido891011121412131617181921192223[[#This Row],[Pedido]],0)</f>
        <v>0</v>
      </c>
      <c r="H507" s="15">
        <v>0</v>
      </c>
      <c r="I507" s="15" t="s">
        <v>121</v>
      </c>
      <c r="J507" s="1"/>
      <c r="K507" s="1"/>
      <c r="L507" s="1"/>
      <c r="M507" s="1"/>
      <c r="N507" s="1"/>
    </row>
    <row r="508" spans="1:14" hidden="1" x14ac:dyDescent="0.25">
      <c r="A508" s="1"/>
      <c r="B508" s="15" t="s">
        <v>121</v>
      </c>
      <c r="C508" s="15" t="s">
        <v>1027</v>
      </c>
      <c r="D508" s="15" t="s">
        <v>1028</v>
      </c>
      <c r="E508" s="16" t="s">
        <v>22</v>
      </c>
      <c r="F508" s="17"/>
      <c r="G508" cm="1">
        <f t="array" ref="G508">IFERROR(_xlfn.XLOOKUP(Pedido891011121412131617181921192223[[#This Row],[Id de Producto]],[1]!Precios[[#All],[Id de Producto]],[1]!Precios[[#All],[Coste estándar]])*Pedido891011121412131617181921192223[[#This Row],[Pedido]],0)</f>
        <v>0</v>
      </c>
      <c r="H508" s="15">
        <v>0</v>
      </c>
      <c r="I508" s="15" t="s">
        <v>121</v>
      </c>
      <c r="J508" s="1"/>
      <c r="K508" s="1"/>
      <c r="L508" s="1"/>
      <c r="M508" s="1"/>
      <c r="N508" s="1"/>
    </row>
    <row r="509" spans="1:14" hidden="1" x14ac:dyDescent="0.25">
      <c r="A509" s="1"/>
      <c r="B509" s="15" t="s">
        <v>121</v>
      </c>
      <c r="C509" s="15" t="s">
        <v>1029</v>
      </c>
      <c r="D509" s="15" t="s">
        <v>1030</v>
      </c>
      <c r="E509" s="16" t="s">
        <v>22</v>
      </c>
      <c r="F509" s="17"/>
      <c r="G509" cm="1">
        <f t="array" ref="G509">IFERROR(_xlfn.XLOOKUP(Pedido891011121412131617181921192223[[#This Row],[Id de Producto]],[1]!Precios[[#All],[Id de Producto]],[1]!Precios[[#All],[Coste estándar]])*Pedido891011121412131617181921192223[[#This Row],[Pedido]],0)</f>
        <v>0</v>
      </c>
      <c r="H509" s="15">
        <v>0</v>
      </c>
      <c r="I509" s="15" t="s">
        <v>121</v>
      </c>
      <c r="J509" s="1"/>
      <c r="K509" s="1"/>
      <c r="L509" s="1"/>
      <c r="M509" s="1"/>
      <c r="N509" s="1"/>
    </row>
    <row r="510" spans="1:14" hidden="1" x14ac:dyDescent="0.25">
      <c r="A510" s="1"/>
      <c r="B510" s="16" t="s">
        <v>121</v>
      </c>
      <c r="C510" s="15" t="s">
        <v>1031</v>
      </c>
      <c r="D510" s="15" t="s">
        <v>1032</v>
      </c>
      <c r="E510" s="16" t="s">
        <v>22</v>
      </c>
      <c r="F510" s="17"/>
      <c r="G510" cm="1">
        <f t="array" ref="G510">IFERROR(_xlfn.XLOOKUP(Pedido891011121412131617181921192223[[#This Row],[Id de Producto]],[1]!Precios[[#All],[Id de Producto]],[1]!Precios[[#All],[Coste estándar]])*Pedido891011121412131617181921192223[[#This Row],[Pedido]],0)</f>
        <v>0</v>
      </c>
      <c r="H510" s="18">
        <v>0</v>
      </c>
      <c r="I510" s="15" t="s">
        <v>121</v>
      </c>
      <c r="J510" s="1"/>
      <c r="K510" s="1"/>
      <c r="L510" s="1"/>
      <c r="M510" s="1"/>
      <c r="N510" s="1"/>
    </row>
    <row r="511" spans="1:14" hidden="1" x14ac:dyDescent="0.25">
      <c r="A511" s="1"/>
      <c r="B511" s="15" t="s">
        <v>121</v>
      </c>
      <c r="C511" s="15" t="s">
        <v>1033</v>
      </c>
      <c r="D511" s="15" t="s">
        <v>1034</v>
      </c>
      <c r="E511" s="16" t="s">
        <v>26</v>
      </c>
      <c r="F511" s="17"/>
      <c r="G511" cm="1">
        <f t="array" ref="G511">IFERROR(_xlfn.XLOOKUP(Pedido891011121412131617181921192223[[#This Row],[Id de Producto]],[1]!Precios[[#All],[Id de Producto]],[1]!Precios[[#All],[Coste estándar]])*Pedido891011121412131617181921192223[[#This Row],[Pedido]],0)</f>
        <v>0</v>
      </c>
      <c r="H511" s="15">
        <v>0</v>
      </c>
      <c r="I511" s="15" t="s">
        <v>121</v>
      </c>
      <c r="J511" s="1"/>
      <c r="K511" s="1"/>
      <c r="L511" s="1"/>
      <c r="M511" s="1"/>
      <c r="N511" s="1"/>
    </row>
    <row r="512" spans="1:14" hidden="1" x14ac:dyDescent="0.25">
      <c r="A512" s="1"/>
      <c r="B512" s="15" t="s">
        <v>121</v>
      </c>
      <c r="C512" s="15" t="s">
        <v>1035</v>
      </c>
      <c r="D512" s="15" t="s">
        <v>1036</v>
      </c>
      <c r="E512" s="16" t="s">
        <v>26</v>
      </c>
      <c r="F512" s="17"/>
      <c r="G512" cm="1">
        <f t="array" ref="G512">IFERROR(_xlfn.XLOOKUP(Pedido891011121412131617181921192223[[#This Row],[Id de Producto]],[1]!Precios[[#All],[Id de Producto]],[1]!Precios[[#All],[Coste estándar]])*Pedido891011121412131617181921192223[[#This Row],[Pedido]],0)</f>
        <v>0</v>
      </c>
      <c r="H512" s="15">
        <v>0</v>
      </c>
      <c r="I512" s="15" t="s">
        <v>121</v>
      </c>
      <c r="J512" s="1"/>
      <c r="K512" s="1"/>
      <c r="L512" s="1"/>
      <c r="M512" s="1"/>
      <c r="N512" s="1"/>
    </row>
    <row r="513" spans="1:14" hidden="1" x14ac:dyDescent="0.25">
      <c r="A513" s="1"/>
      <c r="B513" s="16" t="s">
        <v>121</v>
      </c>
      <c r="C513" s="15" t="s">
        <v>1037</v>
      </c>
      <c r="D513" s="15" t="s">
        <v>1038</v>
      </c>
      <c r="E513" s="16" t="s">
        <v>22</v>
      </c>
      <c r="F513" s="17"/>
      <c r="G513" cm="1">
        <f t="array" ref="G513">IFERROR(_xlfn.XLOOKUP(Pedido891011121412131617181921192223[[#This Row],[Id de Producto]],[1]!Precios[[#All],[Id de Producto]],[1]!Precios[[#All],[Coste estándar]])*Pedido891011121412131617181921192223[[#This Row],[Pedido]],0)</f>
        <v>0</v>
      </c>
      <c r="H513" s="18">
        <v>0</v>
      </c>
      <c r="I513" s="15" t="s">
        <v>121</v>
      </c>
      <c r="J513" s="1"/>
      <c r="K513" s="1"/>
      <c r="L513" s="1"/>
      <c r="M513" s="1"/>
      <c r="N513" s="1"/>
    </row>
    <row r="514" spans="1:14" hidden="1" x14ac:dyDescent="0.25">
      <c r="A514" s="1"/>
      <c r="B514" s="15" t="s">
        <v>121</v>
      </c>
      <c r="C514" s="15" t="s">
        <v>1039</v>
      </c>
      <c r="D514" s="15" t="s">
        <v>1040</v>
      </c>
      <c r="E514" s="16" t="s">
        <v>22</v>
      </c>
      <c r="F514" s="17"/>
      <c r="G514" cm="1">
        <f t="array" ref="G514">IFERROR(_xlfn.XLOOKUP(Pedido891011121412131617181921192223[[#This Row],[Id de Producto]],[1]!Precios[[#All],[Id de Producto]],[1]!Precios[[#All],[Coste estándar]])*Pedido891011121412131617181921192223[[#This Row],[Pedido]],0)</f>
        <v>0</v>
      </c>
      <c r="H514" s="15">
        <v>0</v>
      </c>
      <c r="I514" s="15" t="s">
        <v>121</v>
      </c>
      <c r="J514" s="1"/>
      <c r="K514" s="1"/>
      <c r="L514" s="1"/>
      <c r="M514" s="1"/>
      <c r="N514" s="1"/>
    </row>
    <row r="515" spans="1:14" hidden="1" x14ac:dyDescent="0.25">
      <c r="A515" s="1"/>
      <c r="B515" s="15" t="s">
        <v>121</v>
      </c>
      <c r="C515" s="15" t="s">
        <v>1041</v>
      </c>
      <c r="D515" s="15" t="s">
        <v>1042</v>
      </c>
      <c r="E515" s="16" t="s">
        <v>22</v>
      </c>
      <c r="F515" s="17"/>
      <c r="G515" cm="1">
        <f t="array" ref="G515">IFERROR(_xlfn.XLOOKUP(Pedido891011121412131617181921192223[[#This Row],[Id de Producto]],[1]!Precios[[#All],[Id de Producto]],[1]!Precios[[#All],[Coste estándar]])*Pedido891011121412131617181921192223[[#This Row],[Pedido]],0)</f>
        <v>0</v>
      </c>
      <c r="H515" s="15">
        <v>0</v>
      </c>
      <c r="I515" s="15" t="s">
        <v>121</v>
      </c>
      <c r="J515" s="1"/>
      <c r="K515" s="1"/>
      <c r="L515" s="1"/>
      <c r="M515" s="1"/>
      <c r="N515" s="1"/>
    </row>
    <row r="516" spans="1:14" hidden="1" x14ac:dyDescent="0.25">
      <c r="A516" s="1"/>
      <c r="B516" s="15" t="s">
        <v>121</v>
      </c>
      <c r="C516" s="15" t="s">
        <v>1043</v>
      </c>
      <c r="D516" s="15" t="s">
        <v>1044</v>
      </c>
      <c r="E516" s="16" t="s">
        <v>22</v>
      </c>
      <c r="F516" s="17"/>
      <c r="G516" cm="1">
        <f t="array" ref="G516">IFERROR(_xlfn.XLOOKUP(Pedido891011121412131617181921192223[[#This Row],[Id de Producto]],[1]!Precios[[#All],[Id de Producto]],[1]!Precios[[#All],[Coste estándar]])*Pedido891011121412131617181921192223[[#This Row],[Pedido]],0)</f>
        <v>0</v>
      </c>
      <c r="H516" s="15">
        <v>0</v>
      </c>
      <c r="I516" s="15" t="s">
        <v>121</v>
      </c>
      <c r="J516" s="1"/>
      <c r="K516" s="1"/>
      <c r="L516" s="1"/>
      <c r="M516" s="1"/>
      <c r="N516" s="1"/>
    </row>
    <row r="517" spans="1:14" hidden="1" x14ac:dyDescent="0.25">
      <c r="A517" s="1"/>
      <c r="B517" s="16" t="s">
        <v>121</v>
      </c>
      <c r="C517" s="15" t="s">
        <v>1045</v>
      </c>
      <c r="D517" s="15" t="s">
        <v>1046</v>
      </c>
      <c r="E517" s="16" t="s">
        <v>22</v>
      </c>
      <c r="F517" s="17"/>
      <c r="G517" cm="1">
        <f t="array" ref="G517">IFERROR(_xlfn.XLOOKUP(Pedido891011121412131617181921192223[[#This Row],[Id de Producto]],[1]!Precios[[#All],[Id de Producto]],[1]!Precios[[#All],[Coste estándar]])*Pedido891011121412131617181921192223[[#This Row],[Pedido]],0)</f>
        <v>0</v>
      </c>
      <c r="H517" s="18">
        <v>0</v>
      </c>
      <c r="I517" s="15" t="s">
        <v>121</v>
      </c>
      <c r="J517" s="1"/>
      <c r="K517" s="1"/>
      <c r="L517" s="1"/>
      <c r="M517" s="1"/>
      <c r="N517" s="1"/>
    </row>
    <row r="518" spans="1:14" hidden="1" x14ac:dyDescent="0.25">
      <c r="A518" s="1"/>
      <c r="B518" s="16" t="s">
        <v>121</v>
      </c>
      <c r="C518" s="15" t="s">
        <v>1047</v>
      </c>
      <c r="D518" s="15" t="s">
        <v>1048</v>
      </c>
      <c r="E518" s="16" t="s">
        <v>22</v>
      </c>
      <c r="F518" s="17"/>
      <c r="G518" cm="1">
        <f t="array" ref="G518">IFERROR(_xlfn.XLOOKUP(Pedido891011121412131617181921192223[[#This Row],[Id de Producto]],[1]!Precios[[#All],[Id de Producto]],[1]!Precios[[#All],[Coste estándar]])*Pedido891011121412131617181921192223[[#This Row],[Pedido]],0)</f>
        <v>0</v>
      </c>
      <c r="H518" s="18">
        <v>0</v>
      </c>
      <c r="I518" s="15" t="s">
        <v>121</v>
      </c>
      <c r="J518" s="1"/>
      <c r="K518" s="1"/>
      <c r="L518" s="1"/>
      <c r="M518" s="1"/>
      <c r="N518" s="1"/>
    </row>
    <row r="519" spans="1:14" hidden="1" x14ac:dyDescent="0.25">
      <c r="A519" s="1"/>
      <c r="B519" s="16" t="s">
        <v>121</v>
      </c>
      <c r="C519" s="15" t="s">
        <v>1049</v>
      </c>
      <c r="D519" s="15" t="s">
        <v>1050</v>
      </c>
      <c r="E519" s="16" t="s">
        <v>22</v>
      </c>
      <c r="F519" s="17"/>
      <c r="G519" cm="1">
        <f t="array" ref="G519">IFERROR(_xlfn.XLOOKUP(Pedido891011121412131617181921192223[[#This Row],[Id de Producto]],[1]!Precios[[#All],[Id de Producto]],[1]!Precios[[#All],[Coste estándar]])*Pedido891011121412131617181921192223[[#This Row],[Pedido]],0)</f>
        <v>0</v>
      </c>
      <c r="H519" s="18">
        <v>0</v>
      </c>
      <c r="I519" s="15" t="s">
        <v>121</v>
      </c>
      <c r="J519" s="1"/>
      <c r="K519" s="1"/>
      <c r="L519" s="1"/>
      <c r="M519" s="1"/>
      <c r="N519" s="1"/>
    </row>
    <row r="520" spans="1:14" hidden="1" x14ac:dyDescent="0.25">
      <c r="A520" s="1"/>
      <c r="B520" s="15" t="s">
        <v>121</v>
      </c>
      <c r="C520" s="15" t="s">
        <v>1051</v>
      </c>
      <c r="D520" s="15" t="s">
        <v>1050</v>
      </c>
      <c r="E520" s="16" t="s">
        <v>26</v>
      </c>
      <c r="F520" s="17"/>
      <c r="G520" cm="1">
        <f t="array" ref="G520">IFERROR(_xlfn.XLOOKUP(Pedido891011121412131617181921192223[[#This Row],[Id de Producto]],[1]!Precios[[#All],[Id de Producto]],[1]!Precios[[#All],[Coste estándar]])*Pedido891011121412131617181921192223[[#This Row],[Pedido]],0)</f>
        <v>0</v>
      </c>
      <c r="H520" s="15">
        <v>0</v>
      </c>
      <c r="I520" s="15" t="s">
        <v>121</v>
      </c>
      <c r="J520" s="1"/>
      <c r="K520" s="1"/>
      <c r="L520" s="1"/>
      <c r="M520" s="1"/>
      <c r="N520" s="1"/>
    </row>
    <row r="521" spans="1:14" hidden="1" x14ac:dyDescent="0.25">
      <c r="A521" s="1"/>
      <c r="B521" s="15" t="s">
        <v>121</v>
      </c>
      <c r="C521" s="15" t="s">
        <v>1052</v>
      </c>
      <c r="D521" s="15" t="s">
        <v>1053</v>
      </c>
      <c r="E521" s="16" t="s">
        <v>26</v>
      </c>
      <c r="F521" s="17"/>
      <c r="G521" cm="1">
        <f t="array" ref="G521">IFERROR(_xlfn.XLOOKUP(Pedido891011121412131617181921192223[[#This Row],[Id de Producto]],[1]!Precios[[#All],[Id de Producto]],[1]!Precios[[#All],[Coste estándar]])*Pedido891011121412131617181921192223[[#This Row],[Pedido]],0)</f>
        <v>0</v>
      </c>
      <c r="H521" s="15">
        <v>0</v>
      </c>
      <c r="I521" s="15" t="s">
        <v>121</v>
      </c>
      <c r="J521" s="1"/>
      <c r="K521" s="1"/>
      <c r="L521" s="1"/>
      <c r="M521" s="1"/>
      <c r="N521" s="1"/>
    </row>
    <row r="522" spans="1:14" hidden="1" x14ac:dyDescent="0.25">
      <c r="A522" s="1"/>
      <c r="B522" s="16" t="s">
        <v>121</v>
      </c>
      <c r="C522" s="15" t="s">
        <v>1054</v>
      </c>
      <c r="D522" s="15" t="s">
        <v>1055</v>
      </c>
      <c r="E522" s="16" t="s">
        <v>22</v>
      </c>
      <c r="F522" s="17"/>
      <c r="G522" cm="1">
        <f t="array" ref="G522">IFERROR(_xlfn.XLOOKUP(Pedido891011121412131617181921192223[[#This Row],[Id de Producto]],[1]!Precios[[#All],[Id de Producto]],[1]!Precios[[#All],[Coste estándar]])*Pedido891011121412131617181921192223[[#This Row],[Pedido]],0)</f>
        <v>0</v>
      </c>
      <c r="H522" s="18">
        <v>0</v>
      </c>
      <c r="I522" s="15" t="s">
        <v>121</v>
      </c>
      <c r="J522" s="1"/>
      <c r="K522" s="1"/>
      <c r="L522" s="1"/>
      <c r="M522" s="1"/>
      <c r="N522" s="1"/>
    </row>
    <row r="523" spans="1:14" hidden="1" x14ac:dyDescent="0.25">
      <c r="A523" s="1"/>
      <c r="B523" s="16" t="s">
        <v>121</v>
      </c>
      <c r="C523" s="15" t="s">
        <v>1056</v>
      </c>
      <c r="D523" s="15" t="s">
        <v>1057</v>
      </c>
      <c r="E523" s="16" t="s">
        <v>22</v>
      </c>
      <c r="F523" s="17"/>
      <c r="G523" cm="1">
        <f t="array" ref="G523">IFERROR(_xlfn.XLOOKUP(Pedido891011121412131617181921192223[[#This Row],[Id de Producto]],[1]!Precios[[#All],[Id de Producto]],[1]!Precios[[#All],[Coste estándar]])*Pedido891011121412131617181921192223[[#This Row],[Pedido]],0)</f>
        <v>0</v>
      </c>
      <c r="H523" s="18">
        <v>0</v>
      </c>
      <c r="I523" s="15" t="s">
        <v>121</v>
      </c>
      <c r="J523" s="1"/>
      <c r="K523" s="1"/>
      <c r="L523" s="1"/>
      <c r="M523" s="1"/>
      <c r="N523" s="1"/>
    </row>
    <row r="524" spans="1:14" hidden="1" x14ac:dyDescent="0.25">
      <c r="A524" s="1"/>
      <c r="B524" s="16" t="s">
        <v>121</v>
      </c>
      <c r="C524" s="15" t="s">
        <v>1058</v>
      </c>
      <c r="D524" s="15" t="s">
        <v>1059</v>
      </c>
      <c r="E524" s="16" t="s">
        <v>22</v>
      </c>
      <c r="F524" s="17"/>
      <c r="G524" cm="1">
        <f t="array" ref="G524">IFERROR(_xlfn.XLOOKUP(Pedido891011121412131617181921192223[[#This Row],[Id de Producto]],[1]!Precios[[#All],[Id de Producto]],[1]!Precios[[#All],[Coste estándar]])*Pedido891011121412131617181921192223[[#This Row],[Pedido]],0)</f>
        <v>0</v>
      </c>
      <c r="H524" s="18">
        <v>0</v>
      </c>
      <c r="I524" s="15" t="s">
        <v>121</v>
      </c>
      <c r="J524" s="1"/>
      <c r="K524" s="1"/>
      <c r="L524" s="1"/>
      <c r="M524" s="1"/>
      <c r="N524" s="1"/>
    </row>
    <row r="525" spans="1:14" hidden="1" x14ac:dyDescent="0.25">
      <c r="A525" s="1"/>
      <c r="B525" s="15" t="s">
        <v>121</v>
      </c>
      <c r="C525" s="15" t="s">
        <v>1060</v>
      </c>
      <c r="D525" s="15" t="s">
        <v>1061</v>
      </c>
      <c r="E525" s="16" t="s">
        <v>22</v>
      </c>
      <c r="F525" s="17"/>
      <c r="G525" cm="1">
        <f t="array" ref="G525">IFERROR(_xlfn.XLOOKUP(Pedido891011121412131617181921192223[[#This Row],[Id de Producto]],[1]!Precios[[#All],[Id de Producto]],[1]!Precios[[#All],[Coste estándar]])*Pedido891011121412131617181921192223[[#This Row],[Pedido]],0)</f>
        <v>0</v>
      </c>
      <c r="H525" s="15">
        <v>0</v>
      </c>
      <c r="I525" s="15" t="s">
        <v>121</v>
      </c>
      <c r="J525" s="1"/>
      <c r="K525" s="1"/>
      <c r="L525" s="1"/>
      <c r="M525" s="1"/>
      <c r="N525" s="1"/>
    </row>
    <row r="526" spans="1:14" hidden="1" x14ac:dyDescent="0.25">
      <c r="A526" s="1"/>
      <c r="B526" s="15" t="s">
        <v>121</v>
      </c>
      <c r="C526" s="15" t="s">
        <v>1062</v>
      </c>
      <c r="D526" s="15" t="s">
        <v>1063</v>
      </c>
      <c r="E526" s="15" t="s">
        <v>22</v>
      </c>
      <c r="F526" s="17"/>
      <c r="G526" cm="1">
        <f t="array" ref="G526">IFERROR(_xlfn.XLOOKUP(Pedido891011121412131617181921192223[[#This Row],[Id de Producto]],[1]!Precios[[#All],[Id de Producto]],[1]!Precios[[#All],[Coste estándar]])*Pedido891011121412131617181921192223[[#This Row],[Pedido]],0)</f>
        <v>0</v>
      </c>
      <c r="H526" s="18">
        <v>0</v>
      </c>
      <c r="I526" s="15" t="s">
        <v>121</v>
      </c>
      <c r="J526" s="1"/>
      <c r="K526" s="1"/>
      <c r="L526" s="1"/>
      <c r="M526" s="1"/>
      <c r="N526" s="1"/>
    </row>
    <row r="527" spans="1:14" hidden="1" x14ac:dyDescent="0.25">
      <c r="A527" s="1"/>
      <c r="B527" s="16" t="s">
        <v>121</v>
      </c>
      <c r="C527" s="15" t="s">
        <v>1064</v>
      </c>
      <c r="D527" s="15" t="s">
        <v>1065</v>
      </c>
      <c r="E527" s="16" t="s">
        <v>22</v>
      </c>
      <c r="F527" s="17"/>
      <c r="G527" cm="1">
        <f t="array" ref="G527">IFERROR(_xlfn.XLOOKUP(Pedido891011121412131617181921192223[[#This Row],[Id de Producto]],[1]!Precios[[#All],[Id de Producto]],[1]!Precios[[#All],[Coste estándar]])*Pedido891011121412131617181921192223[[#This Row],[Pedido]],0)</f>
        <v>0</v>
      </c>
      <c r="H527" s="18">
        <v>0</v>
      </c>
      <c r="I527" s="15" t="s">
        <v>121</v>
      </c>
      <c r="J527" s="1"/>
      <c r="K527" s="1"/>
      <c r="L527" s="1"/>
      <c r="M527" s="1"/>
      <c r="N527" s="1"/>
    </row>
    <row r="528" spans="1:14" hidden="1" x14ac:dyDescent="0.25">
      <c r="A528" s="1"/>
      <c r="B528" s="16" t="s">
        <v>121</v>
      </c>
      <c r="C528" s="15" t="s">
        <v>1066</v>
      </c>
      <c r="D528" s="15" t="s">
        <v>1067</v>
      </c>
      <c r="E528" s="16" t="s">
        <v>22</v>
      </c>
      <c r="F528" s="17"/>
      <c r="G528" cm="1">
        <f t="array" ref="G528">IFERROR(_xlfn.XLOOKUP(Pedido891011121412131617181921192223[[#This Row],[Id de Producto]],[1]!Precios[[#All],[Id de Producto]],[1]!Precios[[#All],[Coste estándar]])*Pedido891011121412131617181921192223[[#This Row],[Pedido]],0)</f>
        <v>0</v>
      </c>
      <c r="H528" s="18">
        <v>0</v>
      </c>
      <c r="I528" s="15" t="s">
        <v>121</v>
      </c>
      <c r="J528" s="1"/>
      <c r="K528" s="1"/>
      <c r="L528" s="1"/>
      <c r="M528" s="1"/>
      <c r="N528" s="1"/>
    </row>
    <row r="529" spans="1:14" hidden="1" x14ac:dyDescent="0.25">
      <c r="A529" s="1"/>
      <c r="B529" s="16" t="s">
        <v>121</v>
      </c>
      <c r="C529" s="15" t="s">
        <v>1068</v>
      </c>
      <c r="D529" s="15" t="s">
        <v>1069</v>
      </c>
      <c r="E529" s="16" t="s">
        <v>22</v>
      </c>
      <c r="F529" s="17"/>
      <c r="G529" cm="1">
        <f t="array" ref="G529">IFERROR(_xlfn.XLOOKUP(Pedido891011121412131617181921192223[[#This Row],[Id de Producto]],[1]!Precios[[#All],[Id de Producto]],[1]!Precios[[#All],[Coste estándar]])*Pedido891011121412131617181921192223[[#This Row],[Pedido]],0)</f>
        <v>0</v>
      </c>
      <c r="H529" s="18">
        <v>0</v>
      </c>
      <c r="I529" s="15" t="s">
        <v>121</v>
      </c>
      <c r="J529" s="1"/>
      <c r="K529" s="1"/>
      <c r="L529" s="1"/>
      <c r="M529" s="1"/>
      <c r="N529" s="1"/>
    </row>
    <row r="530" spans="1:14" hidden="1" x14ac:dyDescent="0.25">
      <c r="A530" s="1"/>
      <c r="B530" s="16" t="s">
        <v>121</v>
      </c>
      <c r="C530" s="15" t="s">
        <v>1070</v>
      </c>
      <c r="D530" s="15" t="s">
        <v>1071</v>
      </c>
      <c r="E530" s="16" t="s">
        <v>26</v>
      </c>
      <c r="F530" s="17"/>
      <c r="G530" cm="1">
        <f t="array" ref="G530">IFERROR(_xlfn.XLOOKUP(Pedido891011121412131617181921192223[[#This Row],[Id de Producto]],[1]!Precios[[#All],[Id de Producto]],[1]!Precios[[#All],[Coste estándar]])*Pedido891011121412131617181921192223[[#This Row],[Pedido]],0)</f>
        <v>0</v>
      </c>
      <c r="H530" s="18">
        <v>0</v>
      </c>
      <c r="I530" s="15" t="s">
        <v>121</v>
      </c>
      <c r="J530" s="1"/>
      <c r="K530" s="1"/>
      <c r="L530" s="1"/>
      <c r="M530" s="1"/>
      <c r="N530" s="1"/>
    </row>
    <row r="531" spans="1:14" hidden="1" x14ac:dyDescent="0.25">
      <c r="A531" s="1"/>
      <c r="B531" s="16" t="s">
        <v>121</v>
      </c>
      <c r="C531" s="15" t="s">
        <v>1072</v>
      </c>
      <c r="D531" s="15" t="s">
        <v>1073</v>
      </c>
      <c r="E531" s="16" t="s">
        <v>22</v>
      </c>
      <c r="F531" s="17"/>
      <c r="G531" cm="1">
        <f t="array" ref="G531">IFERROR(_xlfn.XLOOKUP(Pedido891011121412131617181921192223[[#This Row],[Id de Producto]],[1]!Precios[[#All],[Id de Producto]],[1]!Precios[[#All],[Coste estándar]])*Pedido891011121412131617181921192223[[#This Row],[Pedido]],0)</f>
        <v>0</v>
      </c>
      <c r="H531" s="18">
        <v>0</v>
      </c>
      <c r="I531" s="15" t="s">
        <v>121</v>
      </c>
      <c r="J531" s="1"/>
      <c r="K531" s="1"/>
      <c r="L531" s="1"/>
      <c r="M531" s="1"/>
      <c r="N531" s="1"/>
    </row>
    <row r="532" spans="1:14" hidden="1" x14ac:dyDescent="0.25">
      <c r="A532" s="1"/>
      <c r="B532" s="16" t="s">
        <v>121</v>
      </c>
      <c r="C532" s="15" t="s">
        <v>1074</v>
      </c>
      <c r="D532" s="15" t="s">
        <v>1075</v>
      </c>
      <c r="E532" s="16" t="s">
        <v>22</v>
      </c>
      <c r="F532" s="17"/>
      <c r="G532" cm="1">
        <f t="array" ref="G532">IFERROR(_xlfn.XLOOKUP(Pedido891011121412131617181921192223[[#This Row],[Id de Producto]],[1]!Precios[[#All],[Id de Producto]],[1]!Precios[[#All],[Coste estándar]])*Pedido891011121412131617181921192223[[#This Row],[Pedido]],0)</f>
        <v>0</v>
      </c>
      <c r="H532" s="18">
        <v>0</v>
      </c>
      <c r="I532" s="15" t="s">
        <v>121</v>
      </c>
      <c r="J532" s="1"/>
      <c r="K532" s="1"/>
      <c r="L532" s="1"/>
      <c r="M532" s="1"/>
      <c r="N532" s="1"/>
    </row>
    <row r="533" spans="1:14" hidden="1" x14ac:dyDescent="0.25">
      <c r="A533" s="1"/>
      <c r="B533" s="15" t="s">
        <v>121</v>
      </c>
      <c r="C533" s="15" t="s">
        <v>1076</v>
      </c>
      <c r="D533" s="15" t="s">
        <v>1077</v>
      </c>
      <c r="E533" s="15" t="s">
        <v>22</v>
      </c>
      <c r="F533" s="17"/>
      <c r="G533" cm="1">
        <f t="array" ref="G533">IFERROR(_xlfn.XLOOKUP(Pedido891011121412131617181921192223[[#This Row],[Id de Producto]],[1]!Precios[[#All],[Id de Producto]],[1]!Precios[[#All],[Coste estándar]])*Pedido891011121412131617181921192223[[#This Row],[Pedido]],0)</f>
        <v>0</v>
      </c>
      <c r="H533" s="18">
        <v>0</v>
      </c>
      <c r="I533" s="15" t="s">
        <v>121</v>
      </c>
      <c r="J533" s="1"/>
      <c r="K533" s="1"/>
      <c r="L533" s="1"/>
      <c r="M533" s="1"/>
      <c r="N533" s="1"/>
    </row>
    <row r="534" spans="1:14" hidden="1" x14ac:dyDescent="0.25">
      <c r="A534" s="1"/>
      <c r="B534" s="15" t="s">
        <v>121</v>
      </c>
      <c r="C534" s="15" t="s">
        <v>1078</v>
      </c>
      <c r="D534" s="15" t="s">
        <v>1079</v>
      </c>
      <c r="E534" s="16" t="s">
        <v>22</v>
      </c>
      <c r="F534" s="17"/>
      <c r="G534" cm="1">
        <f t="array" ref="G534">IFERROR(_xlfn.XLOOKUP(Pedido891011121412131617181921192223[[#This Row],[Id de Producto]],[1]!Precios[[#All],[Id de Producto]],[1]!Precios[[#All],[Coste estándar]])*Pedido891011121412131617181921192223[[#This Row],[Pedido]],0)</f>
        <v>0</v>
      </c>
      <c r="H534" s="18">
        <v>0</v>
      </c>
      <c r="I534" s="15" t="s">
        <v>121</v>
      </c>
      <c r="J534" s="1"/>
      <c r="K534" s="1"/>
      <c r="L534" s="1"/>
      <c r="M534" s="1"/>
      <c r="N534" s="1"/>
    </row>
    <row r="535" spans="1:14" hidden="1" x14ac:dyDescent="0.25">
      <c r="A535" s="1"/>
      <c r="B535" s="16" t="s">
        <v>121</v>
      </c>
      <c r="C535" s="15" t="s">
        <v>1080</v>
      </c>
      <c r="D535" s="15" t="s">
        <v>1081</v>
      </c>
      <c r="E535" s="16" t="s">
        <v>22</v>
      </c>
      <c r="F535" s="17"/>
      <c r="G535" cm="1">
        <f t="array" ref="G535">IFERROR(_xlfn.XLOOKUP(Pedido891011121412131617181921192223[[#This Row],[Id de Producto]],[1]!Precios[[#All],[Id de Producto]],[1]!Precios[[#All],[Coste estándar]])*Pedido891011121412131617181921192223[[#This Row],[Pedido]],0)</f>
        <v>0</v>
      </c>
      <c r="H535" s="18">
        <v>0</v>
      </c>
      <c r="I535" s="15" t="s">
        <v>121</v>
      </c>
      <c r="J535" s="1"/>
      <c r="K535" s="1"/>
      <c r="L535" s="1"/>
      <c r="M535" s="1"/>
      <c r="N535" s="1"/>
    </row>
    <row r="536" spans="1:14" hidden="1" x14ac:dyDescent="0.25">
      <c r="A536" s="1"/>
      <c r="B536" s="15" t="s">
        <v>121</v>
      </c>
      <c r="C536" s="15" t="s">
        <v>1082</v>
      </c>
      <c r="D536" s="15" t="s">
        <v>1083</v>
      </c>
      <c r="E536" s="16" t="s">
        <v>22</v>
      </c>
      <c r="F536" s="17"/>
      <c r="G536" cm="1">
        <f t="array" ref="G536">IFERROR(_xlfn.XLOOKUP(Pedido891011121412131617181921192223[[#This Row],[Id de Producto]],[1]!Precios[[#All],[Id de Producto]],[1]!Precios[[#All],[Coste estándar]])*Pedido891011121412131617181921192223[[#This Row],[Pedido]],0)</f>
        <v>0</v>
      </c>
      <c r="H536" s="15">
        <v>0</v>
      </c>
      <c r="I536" s="15" t="s">
        <v>121</v>
      </c>
      <c r="J536" s="1"/>
      <c r="K536" s="1"/>
      <c r="L536" s="1"/>
      <c r="M536" s="1"/>
      <c r="N536" s="1"/>
    </row>
    <row r="537" spans="1:14" hidden="1" x14ac:dyDescent="0.25">
      <c r="A537" s="1"/>
      <c r="B537" s="15" t="s">
        <v>121</v>
      </c>
      <c r="C537" s="15" t="s">
        <v>1084</v>
      </c>
      <c r="D537" s="15" t="s">
        <v>1085</v>
      </c>
      <c r="E537" s="16" t="s">
        <v>26</v>
      </c>
      <c r="F537" s="17"/>
      <c r="G537" cm="1">
        <f t="array" ref="G537">IFERROR(_xlfn.XLOOKUP(Pedido891011121412131617181921192223[[#This Row],[Id de Producto]],[1]!Precios[[#All],[Id de Producto]],[1]!Precios[[#All],[Coste estándar]])*Pedido891011121412131617181921192223[[#This Row],[Pedido]],0)</f>
        <v>0</v>
      </c>
      <c r="H537" s="15">
        <v>0</v>
      </c>
      <c r="I537" s="15" t="s">
        <v>121</v>
      </c>
      <c r="J537" s="1"/>
      <c r="K537" s="1"/>
      <c r="L537" s="1"/>
      <c r="M537" s="1"/>
      <c r="N537" s="1"/>
    </row>
    <row r="538" spans="1:14" hidden="1" x14ac:dyDescent="0.25">
      <c r="A538" s="1"/>
      <c r="B538" s="16" t="s">
        <v>121</v>
      </c>
      <c r="C538" s="15" t="s">
        <v>1086</v>
      </c>
      <c r="D538" s="15" t="s">
        <v>1087</v>
      </c>
      <c r="E538" s="16" t="s">
        <v>22</v>
      </c>
      <c r="F538" s="17"/>
      <c r="G538" cm="1">
        <f t="array" ref="G538">IFERROR(_xlfn.XLOOKUP(Pedido891011121412131617181921192223[[#This Row],[Id de Producto]],[1]!Precios[[#All],[Id de Producto]],[1]!Precios[[#All],[Coste estándar]])*Pedido891011121412131617181921192223[[#This Row],[Pedido]],0)</f>
        <v>0</v>
      </c>
      <c r="H538" s="18">
        <v>0</v>
      </c>
      <c r="I538" s="15" t="s">
        <v>121</v>
      </c>
      <c r="J538" s="1"/>
      <c r="K538" s="1"/>
      <c r="L538" s="1"/>
      <c r="M538" s="1"/>
      <c r="N538" s="1"/>
    </row>
    <row r="539" spans="1:14" hidden="1" x14ac:dyDescent="0.25">
      <c r="A539" s="1"/>
      <c r="B539" s="16" t="s">
        <v>121</v>
      </c>
      <c r="C539" s="15" t="s">
        <v>1088</v>
      </c>
      <c r="D539" s="15" t="s">
        <v>1089</v>
      </c>
      <c r="E539" s="16" t="s">
        <v>22</v>
      </c>
      <c r="F539" s="17"/>
      <c r="G539" cm="1">
        <f t="array" ref="G539">IFERROR(_xlfn.XLOOKUP(Pedido891011121412131617181921192223[[#This Row],[Id de Producto]],[1]!Precios[[#All],[Id de Producto]],[1]!Precios[[#All],[Coste estándar]])*Pedido891011121412131617181921192223[[#This Row],[Pedido]],0)</f>
        <v>0</v>
      </c>
      <c r="H539" s="18">
        <v>0</v>
      </c>
      <c r="I539" s="15" t="s">
        <v>121</v>
      </c>
      <c r="J539" s="1"/>
      <c r="K539" s="1"/>
      <c r="L539" s="1"/>
      <c r="M539" s="1"/>
      <c r="N539" s="1"/>
    </row>
    <row r="540" spans="1:14" hidden="1" x14ac:dyDescent="0.25">
      <c r="A540" s="1"/>
      <c r="B540" s="16" t="s">
        <v>121</v>
      </c>
      <c r="C540" s="15" t="s">
        <v>1090</v>
      </c>
      <c r="D540" s="15" t="s">
        <v>1091</v>
      </c>
      <c r="E540" s="16" t="s">
        <v>22</v>
      </c>
      <c r="F540" s="17"/>
      <c r="G540" cm="1">
        <f t="array" ref="G540">IFERROR(_xlfn.XLOOKUP(Pedido891011121412131617181921192223[[#This Row],[Id de Producto]],[1]!Precios[[#All],[Id de Producto]],[1]!Precios[[#All],[Coste estándar]])*Pedido891011121412131617181921192223[[#This Row],[Pedido]],0)</f>
        <v>0</v>
      </c>
      <c r="H540" s="18">
        <v>0</v>
      </c>
      <c r="I540" s="15" t="s">
        <v>121</v>
      </c>
      <c r="J540" s="1"/>
      <c r="K540" s="1"/>
      <c r="L540" s="1"/>
      <c r="M540" s="1"/>
      <c r="N540" s="1"/>
    </row>
    <row r="541" spans="1:14" hidden="1" x14ac:dyDescent="0.25">
      <c r="A541" s="1"/>
      <c r="B541" s="16" t="s">
        <v>121</v>
      </c>
      <c r="C541" s="15" t="s">
        <v>1092</v>
      </c>
      <c r="D541" s="15" t="s">
        <v>1093</v>
      </c>
      <c r="E541" s="16" t="s">
        <v>22</v>
      </c>
      <c r="F541" s="17"/>
      <c r="G541" cm="1">
        <f t="array" ref="G541">IFERROR(_xlfn.XLOOKUP(Pedido891011121412131617181921192223[[#This Row],[Id de Producto]],[1]!Precios[[#All],[Id de Producto]],[1]!Precios[[#All],[Coste estándar]])*Pedido891011121412131617181921192223[[#This Row],[Pedido]],0)</f>
        <v>0</v>
      </c>
      <c r="H541" s="18">
        <v>0</v>
      </c>
      <c r="I541" s="15" t="s">
        <v>121</v>
      </c>
      <c r="J541" s="1"/>
      <c r="K541" s="1"/>
      <c r="L541" s="1"/>
      <c r="M541" s="1"/>
      <c r="N541" s="1"/>
    </row>
    <row r="542" spans="1:14" hidden="1" x14ac:dyDescent="0.25">
      <c r="A542" s="1"/>
      <c r="B542" s="15" t="s">
        <v>121</v>
      </c>
      <c r="C542" s="15" t="s">
        <v>1094</v>
      </c>
      <c r="D542" s="15" t="s">
        <v>1095</v>
      </c>
      <c r="E542" s="16" t="s">
        <v>22</v>
      </c>
      <c r="F542" s="17"/>
      <c r="G542" cm="1">
        <f t="array" ref="G542">IFERROR(_xlfn.XLOOKUP(Pedido891011121412131617181921192223[[#This Row],[Id de Producto]],[1]!Precios[[#All],[Id de Producto]],[1]!Precios[[#All],[Coste estándar]])*Pedido891011121412131617181921192223[[#This Row],[Pedido]],0)</f>
        <v>0</v>
      </c>
      <c r="H542" s="15">
        <v>0</v>
      </c>
      <c r="I542" s="15" t="s">
        <v>121</v>
      </c>
      <c r="J542" s="1"/>
      <c r="K542" s="1"/>
      <c r="L542" s="1"/>
      <c r="M542" s="1"/>
      <c r="N542" s="1"/>
    </row>
    <row r="543" spans="1:14" hidden="1" x14ac:dyDescent="0.25">
      <c r="A543" s="1"/>
      <c r="B543" s="15" t="s">
        <v>121</v>
      </c>
      <c r="C543" s="15" t="s">
        <v>1096</v>
      </c>
      <c r="D543" s="15" t="s">
        <v>1097</v>
      </c>
      <c r="E543" s="16" t="s">
        <v>22</v>
      </c>
      <c r="F543" s="17"/>
      <c r="G543" cm="1">
        <f t="array" ref="G543">IFERROR(_xlfn.XLOOKUP(Pedido891011121412131617181921192223[[#This Row],[Id de Producto]],[1]!Precios[[#All],[Id de Producto]],[1]!Precios[[#All],[Coste estándar]])*Pedido891011121412131617181921192223[[#This Row],[Pedido]],0)</f>
        <v>0</v>
      </c>
      <c r="H543" s="18">
        <v>0</v>
      </c>
      <c r="I543" s="15" t="s">
        <v>121</v>
      </c>
      <c r="J543" s="1"/>
      <c r="K543" s="1"/>
      <c r="L543" s="1"/>
      <c r="M543" s="1"/>
      <c r="N543" s="1"/>
    </row>
    <row r="544" spans="1:14" hidden="1" x14ac:dyDescent="0.25">
      <c r="A544" s="1"/>
      <c r="B544" s="16" t="s">
        <v>121</v>
      </c>
      <c r="C544" s="15" t="s">
        <v>1098</v>
      </c>
      <c r="D544" s="15" t="s">
        <v>1099</v>
      </c>
      <c r="E544" s="16" t="s">
        <v>22</v>
      </c>
      <c r="F544" s="17"/>
      <c r="G544" cm="1">
        <f t="array" ref="G544">IFERROR(_xlfn.XLOOKUP(Pedido891011121412131617181921192223[[#This Row],[Id de Producto]],[1]!Precios[[#All],[Id de Producto]],[1]!Precios[[#All],[Coste estándar]])*Pedido891011121412131617181921192223[[#This Row],[Pedido]],0)</f>
        <v>0</v>
      </c>
      <c r="H544" s="18">
        <v>0</v>
      </c>
      <c r="I544" s="15" t="s">
        <v>121</v>
      </c>
      <c r="J544" s="1"/>
      <c r="K544" s="1"/>
      <c r="L544" s="1"/>
      <c r="M544" s="1"/>
      <c r="N544" s="1"/>
    </row>
    <row r="545" spans="1:14" hidden="1" x14ac:dyDescent="0.25">
      <c r="A545" s="1"/>
      <c r="B545" s="15" t="s">
        <v>121</v>
      </c>
      <c r="C545" s="15" t="s">
        <v>1100</v>
      </c>
      <c r="D545" s="15" t="s">
        <v>1101</v>
      </c>
      <c r="E545" s="16" t="s">
        <v>22</v>
      </c>
      <c r="F545" s="17"/>
      <c r="G545" cm="1">
        <f t="array" ref="G545">IFERROR(_xlfn.XLOOKUP(Pedido891011121412131617181921192223[[#This Row],[Id de Producto]],[1]!Precios[[#All],[Id de Producto]],[1]!Precios[[#All],[Coste estándar]])*Pedido891011121412131617181921192223[[#This Row],[Pedido]],0)</f>
        <v>0</v>
      </c>
      <c r="H545" s="15">
        <v>0</v>
      </c>
      <c r="I545" s="15" t="s">
        <v>121</v>
      </c>
      <c r="J545" s="1"/>
      <c r="K545" s="1"/>
      <c r="L545" s="1"/>
      <c r="M545" s="1"/>
      <c r="N545" s="1"/>
    </row>
    <row r="546" spans="1:14" hidden="1" x14ac:dyDescent="0.25">
      <c r="A546" s="1"/>
      <c r="B546" s="16" t="s">
        <v>121</v>
      </c>
      <c r="C546" s="15" t="s">
        <v>1102</v>
      </c>
      <c r="D546" s="15" t="s">
        <v>1103</v>
      </c>
      <c r="E546" s="16" t="s">
        <v>22</v>
      </c>
      <c r="F546" s="17"/>
      <c r="G546" cm="1">
        <f t="array" ref="G546">IFERROR(_xlfn.XLOOKUP(Pedido891011121412131617181921192223[[#This Row],[Id de Producto]],[1]!Precios[[#All],[Id de Producto]],[1]!Precios[[#All],[Coste estándar]])*Pedido891011121412131617181921192223[[#This Row],[Pedido]],0)</f>
        <v>0</v>
      </c>
      <c r="H546" s="18">
        <v>0</v>
      </c>
      <c r="I546" s="15" t="s">
        <v>121</v>
      </c>
      <c r="J546" s="1"/>
      <c r="K546" s="1"/>
      <c r="L546" s="1"/>
      <c r="M546" s="1"/>
      <c r="N546" s="1"/>
    </row>
    <row r="547" spans="1:14" hidden="1" x14ac:dyDescent="0.25">
      <c r="A547" s="1"/>
      <c r="B547" s="15" t="s">
        <v>121</v>
      </c>
      <c r="C547" s="15" t="s">
        <v>1104</v>
      </c>
      <c r="D547" s="15" t="s">
        <v>1105</v>
      </c>
      <c r="E547" s="16" t="s">
        <v>22</v>
      </c>
      <c r="F547" s="17"/>
      <c r="G547" cm="1">
        <f t="array" ref="G547">IFERROR(_xlfn.XLOOKUP(Pedido891011121412131617181921192223[[#This Row],[Id de Producto]],[1]!Precios[[#All],[Id de Producto]],[1]!Precios[[#All],[Coste estándar]])*Pedido891011121412131617181921192223[[#This Row],[Pedido]],0)</f>
        <v>0</v>
      </c>
      <c r="H547" s="15">
        <v>0</v>
      </c>
      <c r="I547" s="15" t="s">
        <v>121</v>
      </c>
      <c r="J547" s="1"/>
      <c r="K547" s="1"/>
      <c r="L547" s="1"/>
      <c r="M547" s="1"/>
      <c r="N547" s="1"/>
    </row>
    <row r="548" spans="1:14" hidden="1" x14ac:dyDescent="0.25">
      <c r="A548" s="1"/>
      <c r="B548" s="15" t="s">
        <v>121</v>
      </c>
      <c r="C548" s="15" t="s">
        <v>1106</v>
      </c>
      <c r="D548" s="15" t="s">
        <v>1107</v>
      </c>
      <c r="E548" s="16" t="s">
        <v>22</v>
      </c>
      <c r="F548" s="17"/>
      <c r="G548" cm="1">
        <f t="array" ref="G548">IFERROR(_xlfn.XLOOKUP(Pedido891011121412131617181921192223[[#This Row],[Id de Producto]],[1]!Precios[[#All],[Id de Producto]],[1]!Precios[[#All],[Coste estándar]])*Pedido891011121412131617181921192223[[#This Row],[Pedido]],0)</f>
        <v>0</v>
      </c>
      <c r="H548" s="15">
        <v>0</v>
      </c>
      <c r="I548" s="15" t="s">
        <v>121</v>
      </c>
      <c r="J548" s="1"/>
      <c r="K548" s="1"/>
      <c r="L548" s="1"/>
      <c r="M548" s="1"/>
      <c r="N548" s="1"/>
    </row>
    <row r="549" spans="1:14" hidden="1" x14ac:dyDescent="0.25">
      <c r="A549" s="1"/>
      <c r="B549" s="15" t="s">
        <v>121</v>
      </c>
      <c r="C549" s="15" t="s">
        <v>1108</v>
      </c>
      <c r="D549" s="15" t="s">
        <v>1109</v>
      </c>
      <c r="E549" s="16" t="s">
        <v>22</v>
      </c>
      <c r="F549" s="17"/>
      <c r="G549" cm="1">
        <f t="array" ref="G549">IFERROR(_xlfn.XLOOKUP(Pedido891011121412131617181921192223[[#This Row],[Id de Producto]],[1]!Precios[[#All],[Id de Producto]],[1]!Precios[[#All],[Coste estándar]])*Pedido891011121412131617181921192223[[#This Row],[Pedido]],0)</f>
        <v>0</v>
      </c>
      <c r="H549" s="18">
        <v>0</v>
      </c>
      <c r="I549" s="15" t="s">
        <v>121</v>
      </c>
      <c r="J549" s="1"/>
      <c r="K549" s="1"/>
      <c r="L549" s="1"/>
      <c r="M549" s="1"/>
      <c r="N549" s="1"/>
    </row>
    <row r="550" spans="1:14" hidden="1" x14ac:dyDescent="0.25">
      <c r="A550" s="1"/>
      <c r="B550" s="16" t="s">
        <v>121</v>
      </c>
      <c r="C550" s="15" t="s">
        <v>1110</v>
      </c>
      <c r="D550" s="16" t="s">
        <v>1111</v>
      </c>
      <c r="E550" s="16" t="s">
        <v>22</v>
      </c>
      <c r="F550" s="17"/>
      <c r="G550" cm="1">
        <f t="array" ref="G550">IFERROR(_xlfn.XLOOKUP(Pedido891011121412131617181921192223[[#This Row],[Id de Producto]],[1]!Precios[[#All],[Id de Producto]],[1]!Precios[[#All],[Coste estándar]])*Pedido891011121412131617181921192223[[#This Row],[Pedido]],0)</f>
        <v>0</v>
      </c>
      <c r="H550" s="18">
        <v>0</v>
      </c>
      <c r="I550" s="15" t="s">
        <v>121</v>
      </c>
      <c r="J550" s="1"/>
      <c r="K550" s="1"/>
      <c r="L550" s="1"/>
      <c r="M550" s="1"/>
      <c r="N550" s="1"/>
    </row>
    <row r="551" spans="1:14" hidden="1" x14ac:dyDescent="0.25">
      <c r="A551" s="1"/>
      <c r="B551" s="16" t="s">
        <v>121</v>
      </c>
      <c r="C551" s="15" t="s">
        <v>1112</v>
      </c>
      <c r="D551" s="16" t="s">
        <v>1113</v>
      </c>
      <c r="E551" s="16" t="s">
        <v>22</v>
      </c>
      <c r="F551" s="17"/>
      <c r="G551" cm="1">
        <f t="array" ref="G551">IFERROR(_xlfn.XLOOKUP(Pedido891011121412131617181921192223[[#This Row],[Id de Producto]],[1]!Precios[[#All],[Id de Producto]],[1]!Precios[[#All],[Coste estándar]])*Pedido891011121412131617181921192223[[#This Row],[Pedido]],0)</f>
        <v>0</v>
      </c>
      <c r="H551" s="18">
        <v>0</v>
      </c>
      <c r="I551" s="15" t="s">
        <v>121</v>
      </c>
      <c r="J551" s="1"/>
      <c r="K551" s="1"/>
      <c r="L551" s="1"/>
      <c r="M551" s="1"/>
      <c r="N551" s="1"/>
    </row>
    <row r="552" spans="1:14" hidden="1" x14ac:dyDescent="0.25">
      <c r="A552" s="1"/>
      <c r="B552" s="16" t="s">
        <v>121</v>
      </c>
      <c r="C552" s="15" t="s">
        <v>1114</v>
      </c>
      <c r="D552" s="16" t="s">
        <v>1115</v>
      </c>
      <c r="E552" s="16" t="s">
        <v>22</v>
      </c>
      <c r="F552" s="17"/>
      <c r="G552" cm="1">
        <f t="array" ref="G552">IFERROR(_xlfn.XLOOKUP(Pedido891011121412131617181921192223[[#This Row],[Id de Producto]],[1]!Precios[[#All],[Id de Producto]],[1]!Precios[[#All],[Coste estándar]])*Pedido891011121412131617181921192223[[#This Row],[Pedido]],0)</f>
        <v>0</v>
      </c>
      <c r="H552" s="18">
        <v>0</v>
      </c>
      <c r="I552" s="15" t="s">
        <v>121</v>
      </c>
      <c r="J552" s="1"/>
      <c r="K552" s="1"/>
      <c r="L552" s="1"/>
      <c r="M552" s="1"/>
      <c r="N552" s="1"/>
    </row>
    <row r="553" spans="1:14" hidden="1" x14ac:dyDescent="0.25">
      <c r="A553" s="1"/>
      <c r="B553" s="15" t="s">
        <v>121</v>
      </c>
      <c r="C553" s="15" t="s">
        <v>1116</v>
      </c>
      <c r="D553" s="15" t="s">
        <v>1117</v>
      </c>
      <c r="E553" s="16" t="s">
        <v>22</v>
      </c>
      <c r="F553" s="17"/>
      <c r="G553" cm="1">
        <f t="array" ref="G553">IFERROR(_xlfn.XLOOKUP(Pedido891011121412131617181921192223[[#This Row],[Id de Producto]],[1]!Precios[[#All],[Id de Producto]],[1]!Precios[[#All],[Coste estándar]])*Pedido891011121412131617181921192223[[#This Row],[Pedido]],0)</f>
        <v>0</v>
      </c>
      <c r="H553" s="15">
        <v>0</v>
      </c>
      <c r="I553" s="15" t="s">
        <v>121</v>
      </c>
      <c r="J553" s="1"/>
      <c r="K553" s="1"/>
      <c r="L553" s="1"/>
      <c r="M553" s="1"/>
      <c r="N553" s="1"/>
    </row>
    <row r="554" spans="1:14" hidden="1" x14ac:dyDescent="0.25">
      <c r="A554" s="1"/>
      <c r="B554" s="16" t="s">
        <v>121</v>
      </c>
      <c r="C554" s="15" t="s">
        <v>1118</v>
      </c>
      <c r="D554" s="16" t="s">
        <v>1119</v>
      </c>
      <c r="E554" s="16" t="s">
        <v>22</v>
      </c>
      <c r="F554" s="17"/>
      <c r="G554" cm="1">
        <f t="array" ref="G554">IFERROR(_xlfn.XLOOKUP(Pedido891011121412131617181921192223[[#This Row],[Id de Producto]],[1]!Precios[[#All],[Id de Producto]],[1]!Precios[[#All],[Coste estándar]])*Pedido891011121412131617181921192223[[#This Row],[Pedido]],0)</f>
        <v>0</v>
      </c>
      <c r="H554" s="18">
        <v>0</v>
      </c>
      <c r="I554" s="15" t="s">
        <v>121</v>
      </c>
      <c r="J554" s="1"/>
      <c r="K554" s="1"/>
      <c r="L554" s="1"/>
      <c r="M554" s="1"/>
      <c r="N554" s="1"/>
    </row>
    <row r="555" spans="1:14" hidden="1" x14ac:dyDescent="0.25">
      <c r="A555" s="1"/>
      <c r="B555" s="16" t="s">
        <v>121</v>
      </c>
      <c r="C555" s="15" t="s">
        <v>1120</v>
      </c>
      <c r="D555" s="16" t="s">
        <v>1121</v>
      </c>
      <c r="E555" s="16" t="s">
        <v>22</v>
      </c>
      <c r="F555" s="17"/>
      <c r="G555" cm="1">
        <f t="array" ref="G555">IFERROR(_xlfn.XLOOKUP(Pedido891011121412131617181921192223[[#This Row],[Id de Producto]],[1]!Precios[[#All],[Id de Producto]],[1]!Precios[[#All],[Coste estándar]])*Pedido891011121412131617181921192223[[#This Row],[Pedido]],0)</f>
        <v>0</v>
      </c>
      <c r="H555" s="18">
        <v>0</v>
      </c>
      <c r="I555" s="15" t="s">
        <v>121</v>
      </c>
      <c r="J555" s="1"/>
      <c r="K555" s="1"/>
      <c r="L555" s="1"/>
      <c r="M555" s="1"/>
      <c r="N555" s="1"/>
    </row>
    <row r="556" spans="1:14" hidden="1" x14ac:dyDescent="0.25">
      <c r="A556" s="1"/>
      <c r="B556" s="16" t="s">
        <v>121</v>
      </c>
      <c r="C556" s="15" t="s">
        <v>1122</v>
      </c>
      <c r="D556" s="16" t="s">
        <v>1123</v>
      </c>
      <c r="E556" s="16" t="s">
        <v>22</v>
      </c>
      <c r="F556" s="17"/>
      <c r="G556" cm="1">
        <f t="array" ref="G556">IFERROR(_xlfn.XLOOKUP(Pedido891011121412131617181921192223[[#This Row],[Id de Producto]],[1]!Precios[[#All],[Id de Producto]],[1]!Precios[[#All],[Coste estándar]])*Pedido891011121412131617181921192223[[#This Row],[Pedido]],0)</f>
        <v>0</v>
      </c>
      <c r="H556" s="18">
        <v>0</v>
      </c>
      <c r="I556" s="15" t="s">
        <v>121</v>
      </c>
      <c r="J556" s="1"/>
      <c r="K556" s="1"/>
      <c r="L556" s="1"/>
      <c r="M556" s="1"/>
      <c r="N556" s="1"/>
    </row>
    <row r="557" spans="1:14" hidden="1" x14ac:dyDescent="0.25">
      <c r="A557" s="1"/>
      <c r="B557" s="16" t="s">
        <v>121</v>
      </c>
      <c r="C557" s="15" t="s">
        <v>1124</v>
      </c>
      <c r="D557" s="16" t="s">
        <v>1125</v>
      </c>
      <c r="E557" s="16" t="s">
        <v>22</v>
      </c>
      <c r="F557" s="17"/>
      <c r="G557" cm="1">
        <f t="array" ref="G557">IFERROR(_xlfn.XLOOKUP(Pedido891011121412131617181921192223[[#This Row],[Id de Producto]],[1]!Precios[[#All],[Id de Producto]],[1]!Precios[[#All],[Coste estándar]])*Pedido891011121412131617181921192223[[#This Row],[Pedido]],0)</f>
        <v>0</v>
      </c>
      <c r="H557" s="18">
        <v>0</v>
      </c>
      <c r="I557" s="15" t="s">
        <v>121</v>
      </c>
      <c r="J557" s="1"/>
      <c r="K557" s="1"/>
      <c r="L557" s="1"/>
      <c r="M557" s="1"/>
      <c r="N557" s="1"/>
    </row>
    <row r="558" spans="1:14" hidden="1" x14ac:dyDescent="0.25">
      <c r="A558" s="1"/>
      <c r="B558" s="15" t="s">
        <v>121</v>
      </c>
      <c r="C558" s="15" t="s">
        <v>1126</v>
      </c>
      <c r="D558" s="15" t="s">
        <v>1127</v>
      </c>
      <c r="E558" s="16" t="s">
        <v>22</v>
      </c>
      <c r="F558" s="17"/>
      <c r="G558" cm="1">
        <f t="array" ref="G558">IFERROR(_xlfn.XLOOKUP(Pedido891011121412131617181921192223[[#This Row],[Id de Producto]],[1]!Precios[[#All],[Id de Producto]],[1]!Precios[[#All],[Coste estándar]])*Pedido891011121412131617181921192223[[#This Row],[Pedido]],0)</f>
        <v>0</v>
      </c>
      <c r="H558" s="15">
        <v>0</v>
      </c>
      <c r="I558" s="15" t="s">
        <v>121</v>
      </c>
      <c r="J558" s="1"/>
      <c r="K558" s="1"/>
      <c r="L558" s="1"/>
      <c r="M558" s="1"/>
      <c r="N558" s="1"/>
    </row>
    <row r="559" spans="1:14" hidden="1" x14ac:dyDescent="0.25">
      <c r="A559" s="1"/>
      <c r="B559" s="16" t="s">
        <v>121</v>
      </c>
      <c r="C559" s="15" t="s">
        <v>1128</v>
      </c>
      <c r="D559" s="16" t="s">
        <v>1129</v>
      </c>
      <c r="E559" s="16" t="s">
        <v>22</v>
      </c>
      <c r="F559" s="17"/>
      <c r="G559" cm="1">
        <f t="array" ref="G559">IFERROR(_xlfn.XLOOKUP(Pedido891011121412131617181921192223[[#This Row],[Id de Producto]],[1]!Precios[[#All],[Id de Producto]],[1]!Precios[[#All],[Coste estándar]])*Pedido891011121412131617181921192223[[#This Row],[Pedido]],0)</f>
        <v>0</v>
      </c>
      <c r="H559" s="18">
        <v>0</v>
      </c>
      <c r="I559" s="15" t="s">
        <v>121</v>
      </c>
      <c r="J559" s="1"/>
      <c r="K559" s="1"/>
      <c r="L559" s="1"/>
      <c r="M559" s="1"/>
      <c r="N559" s="1"/>
    </row>
    <row r="560" spans="1:14" hidden="1" x14ac:dyDescent="0.25">
      <c r="A560" s="1"/>
      <c r="B560" s="16" t="s">
        <v>121</v>
      </c>
      <c r="C560" s="15" t="s">
        <v>1130</v>
      </c>
      <c r="D560" s="16" t="s">
        <v>1131</v>
      </c>
      <c r="E560" s="16" t="s">
        <v>120</v>
      </c>
      <c r="F560" s="17"/>
      <c r="G560" cm="1">
        <f t="array" ref="G560">IFERROR(_xlfn.XLOOKUP(Pedido891011121412131617181921192223[[#This Row],[Id de Producto]],[1]!Precios[[#All],[Id de Producto]],[1]!Precios[[#All],[Coste estándar]])*Pedido891011121412131617181921192223[[#This Row],[Pedido]],0)</f>
        <v>0</v>
      </c>
      <c r="H560" s="18">
        <v>0</v>
      </c>
      <c r="I560" s="15" t="s">
        <v>121</v>
      </c>
      <c r="J560" s="1"/>
      <c r="K560" s="1"/>
      <c r="L560" s="1"/>
      <c r="M560" s="1"/>
      <c r="N560" s="1"/>
    </row>
    <row r="561" spans="1:14" hidden="1" x14ac:dyDescent="0.25">
      <c r="A561" s="1"/>
      <c r="B561" s="16" t="s">
        <v>121</v>
      </c>
      <c r="C561" s="15" t="s">
        <v>1132</v>
      </c>
      <c r="D561" s="16" t="s">
        <v>1133</v>
      </c>
      <c r="E561" s="16" t="s">
        <v>22</v>
      </c>
      <c r="F561" s="17"/>
      <c r="G561" cm="1">
        <f t="array" ref="G561">IFERROR(_xlfn.XLOOKUP(Pedido891011121412131617181921192223[[#This Row],[Id de Producto]],[1]!Precios[[#All],[Id de Producto]],[1]!Precios[[#All],[Coste estándar]])*Pedido891011121412131617181921192223[[#This Row],[Pedido]],0)</f>
        <v>0</v>
      </c>
      <c r="H561" s="18">
        <v>0</v>
      </c>
      <c r="I561" s="15" t="s">
        <v>121</v>
      </c>
      <c r="J561" s="1"/>
      <c r="K561" s="1"/>
      <c r="L561" s="1"/>
      <c r="M561" s="1"/>
      <c r="N561" s="1"/>
    </row>
    <row r="562" spans="1:14" hidden="1" x14ac:dyDescent="0.25">
      <c r="A562" s="1"/>
      <c r="B562" s="16" t="s">
        <v>121</v>
      </c>
      <c r="C562" s="15" t="s">
        <v>1134</v>
      </c>
      <c r="D562" s="16" t="s">
        <v>1135</v>
      </c>
      <c r="E562" s="16" t="s">
        <v>22</v>
      </c>
      <c r="F562" s="17"/>
      <c r="G562" cm="1">
        <f t="array" ref="G562">IFERROR(_xlfn.XLOOKUP(Pedido891011121412131617181921192223[[#This Row],[Id de Producto]],[1]!Precios[[#All],[Id de Producto]],[1]!Precios[[#All],[Coste estándar]])*Pedido891011121412131617181921192223[[#This Row],[Pedido]],0)</f>
        <v>0</v>
      </c>
      <c r="H562" s="18">
        <v>0</v>
      </c>
      <c r="I562" s="15" t="s">
        <v>121</v>
      </c>
      <c r="J562" s="1"/>
      <c r="K562" s="1"/>
      <c r="L562" s="1"/>
      <c r="M562" s="1"/>
      <c r="N562" s="1"/>
    </row>
    <row r="563" spans="1:14" hidden="1" x14ac:dyDescent="0.25">
      <c r="A563" s="1"/>
      <c r="B563" s="16" t="s">
        <v>121</v>
      </c>
      <c r="C563" s="15" t="s">
        <v>1136</v>
      </c>
      <c r="D563" s="16" t="s">
        <v>1137</v>
      </c>
      <c r="E563" s="16" t="s">
        <v>120</v>
      </c>
      <c r="F563" s="17"/>
      <c r="G563" cm="1">
        <f t="array" ref="G563">IFERROR(_xlfn.XLOOKUP(Pedido891011121412131617181921192223[[#This Row],[Id de Producto]],[1]!Precios[[#All],[Id de Producto]],[1]!Precios[[#All],[Coste estándar]])*Pedido891011121412131617181921192223[[#This Row],[Pedido]],0)</f>
        <v>0</v>
      </c>
      <c r="H563" s="18">
        <v>0</v>
      </c>
      <c r="I563" s="15" t="s">
        <v>121</v>
      </c>
      <c r="J563" s="1"/>
      <c r="K563" s="1"/>
      <c r="L563" s="1"/>
      <c r="M563" s="1"/>
      <c r="N563" s="1"/>
    </row>
    <row r="564" spans="1:14" hidden="1" x14ac:dyDescent="0.25">
      <c r="A564" s="1"/>
      <c r="B564" s="16" t="s">
        <v>121</v>
      </c>
      <c r="C564" s="15" t="s">
        <v>1138</v>
      </c>
      <c r="D564" s="16" t="s">
        <v>1139</v>
      </c>
      <c r="E564" s="16" t="s">
        <v>120</v>
      </c>
      <c r="F564" s="17"/>
      <c r="G564" cm="1">
        <f t="array" ref="G564">IFERROR(_xlfn.XLOOKUP(Pedido891011121412131617181921192223[[#This Row],[Id de Producto]],[1]!Precios[[#All],[Id de Producto]],[1]!Precios[[#All],[Coste estándar]])*Pedido891011121412131617181921192223[[#This Row],[Pedido]],0)</f>
        <v>0</v>
      </c>
      <c r="H564" s="18">
        <v>0</v>
      </c>
      <c r="I564" s="15" t="s">
        <v>121</v>
      </c>
      <c r="J564" s="1"/>
      <c r="K564" s="1"/>
      <c r="L564" s="1"/>
      <c r="M564" s="1"/>
      <c r="N564" s="1"/>
    </row>
    <row r="565" spans="1:14" hidden="1" x14ac:dyDescent="0.25">
      <c r="A565" s="1"/>
      <c r="B565" s="16" t="s">
        <v>121</v>
      </c>
      <c r="C565" s="15" t="s">
        <v>1140</v>
      </c>
      <c r="D565" s="16" t="s">
        <v>1141</v>
      </c>
      <c r="E565" s="16" t="s">
        <v>22</v>
      </c>
      <c r="F565" s="17"/>
      <c r="G565" cm="1">
        <f t="array" ref="G565">IFERROR(_xlfn.XLOOKUP(Pedido891011121412131617181921192223[[#This Row],[Id de Producto]],[1]!Precios[[#All],[Id de Producto]],[1]!Precios[[#All],[Coste estándar]])*Pedido891011121412131617181921192223[[#This Row],[Pedido]],0)</f>
        <v>0</v>
      </c>
      <c r="H565" s="18">
        <v>0</v>
      </c>
      <c r="I565" s="15" t="s">
        <v>121</v>
      </c>
      <c r="J565" s="1"/>
      <c r="K565" s="1"/>
      <c r="L565" s="1"/>
      <c r="M565" s="1"/>
      <c r="N565" s="1"/>
    </row>
    <row r="566" spans="1:14" hidden="1" x14ac:dyDescent="0.25">
      <c r="A566" s="1"/>
      <c r="B566" s="15" t="s">
        <v>121</v>
      </c>
      <c r="C566" s="15" t="s">
        <v>1142</v>
      </c>
      <c r="D566" s="15" t="s">
        <v>1143</v>
      </c>
      <c r="E566" s="16" t="s">
        <v>120</v>
      </c>
      <c r="F566" s="17"/>
      <c r="G566" cm="1">
        <f t="array" ref="G566">IFERROR(_xlfn.XLOOKUP(Pedido891011121412131617181921192223[[#This Row],[Id de Producto]],[1]!Precios[[#All],[Id de Producto]],[1]!Precios[[#All],[Coste estándar]])*Pedido891011121412131617181921192223[[#This Row],[Pedido]],0)</f>
        <v>0</v>
      </c>
      <c r="H566" s="18">
        <v>0</v>
      </c>
      <c r="I566" s="15" t="s">
        <v>121</v>
      </c>
      <c r="J566" s="1"/>
      <c r="K566" s="1"/>
      <c r="L566" s="1"/>
      <c r="M566" s="1"/>
      <c r="N566" s="1"/>
    </row>
    <row r="567" spans="1:14" hidden="1" x14ac:dyDescent="0.25">
      <c r="A567" s="1"/>
      <c r="B567" s="16" t="s">
        <v>121</v>
      </c>
      <c r="C567" s="15" t="s">
        <v>1144</v>
      </c>
      <c r="D567" s="16" t="s">
        <v>1145</v>
      </c>
      <c r="E567" s="16" t="s">
        <v>22</v>
      </c>
      <c r="F567" s="17"/>
      <c r="G567" cm="1">
        <f t="array" ref="G567">IFERROR(_xlfn.XLOOKUP(Pedido891011121412131617181921192223[[#This Row],[Id de Producto]],[1]!Precios[[#All],[Id de Producto]],[1]!Precios[[#All],[Coste estándar]])*Pedido891011121412131617181921192223[[#This Row],[Pedido]],0)</f>
        <v>0</v>
      </c>
      <c r="H567" s="18">
        <v>0</v>
      </c>
      <c r="I567" s="15" t="s">
        <v>121</v>
      </c>
      <c r="J567" s="1"/>
      <c r="K567" s="1"/>
      <c r="L567" s="1"/>
      <c r="M567" s="1"/>
      <c r="N567" s="1"/>
    </row>
    <row r="568" spans="1:14" hidden="1" x14ac:dyDescent="0.25">
      <c r="A568" s="1"/>
      <c r="B568" s="15" t="s">
        <v>121</v>
      </c>
      <c r="C568" s="15" t="s">
        <v>1146</v>
      </c>
      <c r="D568" s="15" t="s">
        <v>1147</v>
      </c>
      <c r="E568" s="16" t="s">
        <v>18</v>
      </c>
      <c r="F568" s="17"/>
      <c r="G568" cm="1">
        <f t="array" ref="G568">IFERROR(_xlfn.XLOOKUP(Pedido891011121412131617181921192223[[#This Row],[Id de Producto]],[1]!Precios[[#All],[Id de Producto]],[1]!Precios[[#All],[Coste estándar]])*Pedido891011121412131617181921192223[[#This Row],[Pedido]],0)</f>
        <v>0</v>
      </c>
      <c r="H568" s="18">
        <v>0</v>
      </c>
      <c r="I568" s="15" t="s">
        <v>121</v>
      </c>
      <c r="J568" s="1"/>
      <c r="K568" s="1"/>
      <c r="L568" s="1"/>
      <c r="M568" s="1"/>
      <c r="N568" s="1"/>
    </row>
    <row r="569" spans="1:14" hidden="1" x14ac:dyDescent="0.25">
      <c r="A569" s="1"/>
      <c r="B569" s="16" t="s">
        <v>121</v>
      </c>
      <c r="C569" s="15" t="s">
        <v>1148</v>
      </c>
      <c r="D569" s="16" t="s">
        <v>1149</v>
      </c>
      <c r="E569" s="16" t="s">
        <v>22</v>
      </c>
      <c r="F569" s="17"/>
      <c r="G569" cm="1">
        <f t="array" ref="G569">IFERROR(_xlfn.XLOOKUP(Pedido891011121412131617181921192223[[#This Row],[Id de Producto]],[1]!Precios[[#All],[Id de Producto]],[1]!Precios[[#All],[Coste estándar]])*Pedido891011121412131617181921192223[[#This Row],[Pedido]],0)</f>
        <v>0</v>
      </c>
      <c r="H569" s="18">
        <v>0</v>
      </c>
      <c r="I569" s="15" t="s">
        <v>121</v>
      </c>
      <c r="J569" s="1"/>
      <c r="K569" s="1"/>
      <c r="L569" s="1"/>
      <c r="M569" s="1"/>
      <c r="N569" s="1"/>
    </row>
    <row r="570" spans="1:14" hidden="1" x14ac:dyDescent="0.25">
      <c r="A570" s="1"/>
      <c r="B570" s="16" t="s">
        <v>121</v>
      </c>
      <c r="C570" s="15" t="s">
        <v>1150</v>
      </c>
      <c r="D570" s="16" t="s">
        <v>1151</v>
      </c>
      <c r="E570" s="16" t="s">
        <v>22</v>
      </c>
      <c r="F570" s="17"/>
      <c r="G570" cm="1">
        <f t="array" ref="G570">IFERROR(_xlfn.XLOOKUP(Pedido891011121412131617181921192223[[#This Row],[Id de Producto]],[1]!Precios[[#All],[Id de Producto]],[1]!Precios[[#All],[Coste estándar]])*Pedido891011121412131617181921192223[[#This Row],[Pedido]],0)</f>
        <v>0</v>
      </c>
      <c r="H570" s="18">
        <v>0</v>
      </c>
      <c r="I570" s="15" t="s">
        <v>121</v>
      </c>
      <c r="J570" s="1"/>
      <c r="K570" s="1"/>
      <c r="L570" s="1"/>
      <c r="M570" s="1"/>
      <c r="N570" s="1"/>
    </row>
    <row r="571" spans="1:14" hidden="1" x14ac:dyDescent="0.25">
      <c r="A571" s="1"/>
      <c r="B571" s="15" t="s">
        <v>121</v>
      </c>
      <c r="C571" s="15" t="s">
        <v>1152</v>
      </c>
      <c r="D571" s="15" t="s">
        <v>1153</v>
      </c>
      <c r="E571" s="16" t="s">
        <v>26</v>
      </c>
      <c r="F571" s="17"/>
      <c r="G571" cm="1">
        <f t="array" ref="G571">IFERROR(_xlfn.XLOOKUP(Pedido891011121412131617181921192223[[#This Row],[Id de Producto]],[1]!Precios[[#All],[Id de Producto]],[1]!Precios[[#All],[Coste estándar]])*Pedido891011121412131617181921192223[[#This Row],[Pedido]],0)</f>
        <v>0</v>
      </c>
      <c r="H571" s="15">
        <v>0</v>
      </c>
      <c r="I571" s="15" t="s">
        <v>121</v>
      </c>
      <c r="J571" s="1"/>
      <c r="K571" s="1"/>
      <c r="L571" s="1"/>
      <c r="M571" s="1"/>
      <c r="N571" s="1"/>
    </row>
    <row r="572" spans="1:14" hidden="1" x14ac:dyDescent="0.25">
      <c r="A572" s="1"/>
      <c r="B572" s="16" t="s">
        <v>121</v>
      </c>
      <c r="C572" s="15" t="s">
        <v>1154</v>
      </c>
      <c r="D572" s="16" t="s">
        <v>1155</v>
      </c>
      <c r="E572" s="16" t="s">
        <v>22</v>
      </c>
      <c r="F572" s="17"/>
      <c r="G572" cm="1">
        <f t="array" ref="G572">IFERROR(_xlfn.XLOOKUP(Pedido891011121412131617181921192223[[#This Row],[Id de Producto]],[1]!Precios[[#All],[Id de Producto]],[1]!Precios[[#All],[Coste estándar]])*Pedido891011121412131617181921192223[[#This Row],[Pedido]],0)</f>
        <v>0</v>
      </c>
      <c r="H572" s="18">
        <v>0</v>
      </c>
      <c r="I572" s="15" t="s">
        <v>121</v>
      </c>
      <c r="J572" s="1"/>
      <c r="K572" s="1"/>
      <c r="L572" s="1"/>
      <c r="M572" s="1"/>
      <c r="N572" s="1"/>
    </row>
    <row r="573" spans="1:14" hidden="1" x14ac:dyDescent="0.25">
      <c r="A573" s="1"/>
      <c r="B573" s="15" t="s">
        <v>121</v>
      </c>
      <c r="C573" s="15" t="s">
        <v>1156</v>
      </c>
      <c r="D573" s="15" t="s">
        <v>177</v>
      </c>
      <c r="E573" s="16" t="s">
        <v>22</v>
      </c>
      <c r="F573" s="17"/>
      <c r="G573" cm="1">
        <f t="array" ref="G573">IFERROR(_xlfn.XLOOKUP(Pedido891011121412131617181921192223[[#This Row],[Id de Producto]],[1]!Precios[[#All],[Id de Producto]],[1]!Precios[[#All],[Coste estándar]])*Pedido891011121412131617181921192223[[#This Row],[Pedido]],0)</f>
        <v>0</v>
      </c>
      <c r="H573" s="15">
        <v>0</v>
      </c>
      <c r="I573" s="15" t="s">
        <v>121</v>
      </c>
      <c r="J573" s="1"/>
      <c r="K573" s="1"/>
      <c r="L573" s="1"/>
      <c r="M573" s="1"/>
      <c r="N573" s="1"/>
    </row>
    <row r="574" spans="1:14" hidden="1" x14ac:dyDescent="0.25">
      <c r="A574" s="1"/>
      <c r="B574" s="16" t="s">
        <v>121</v>
      </c>
      <c r="C574" s="15" t="s">
        <v>1157</v>
      </c>
      <c r="D574" s="16" t="s">
        <v>1158</v>
      </c>
      <c r="E574" s="16" t="s">
        <v>18</v>
      </c>
      <c r="F574" s="17"/>
      <c r="G574" cm="1">
        <f t="array" ref="G574">IFERROR(_xlfn.XLOOKUP(Pedido891011121412131617181921192223[[#This Row],[Id de Producto]],[1]!Precios[[#All],[Id de Producto]],[1]!Precios[[#All],[Coste estándar]])*Pedido891011121412131617181921192223[[#This Row],[Pedido]],0)</f>
        <v>0</v>
      </c>
      <c r="H574" s="18">
        <v>0</v>
      </c>
      <c r="I574" s="15" t="s">
        <v>121</v>
      </c>
      <c r="J574" s="1"/>
      <c r="K574" s="1"/>
      <c r="L574" s="1"/>
      <c r="M574" s="1"/>
      <c r="N574" s="1"/>
    </row>
    <row r="575" spans="1:14" hidden="1" x14ac:dyDescent="0.25">
      <c r="A575" s="1"/>
      <c r="B575" s="15" t="s">
        <v>121</v>
      </c>
      <c r="C575" s="15" t="s">
        <v>1159</v>
      </c>
      <c r="D575" s="15" t="s">
        <v>1160</v>
      </c>
      <c r="E575" s="16" t="s">
        <v>26</v>
      </c>
      <c r="F575" s="17"/>
      <c r="G575" cm="1">
        <f t="array" ref="G575">IFERROR(_xlfn.XLOOKUP(Pedido891011121412131617181921192223[[#This Row],[Id de Producto]],[1]!Precios[[#All],[Id de Producto]],[1]!Precios[[#All],[Coste estándar]])*Pedido891011121412131617181921192223[[#This Row],[Pedido]],0)</f>
        <v>0</v>
      </c>
      <c r="H575" s="15">
        <v>0</v>
      </c>
      <c r="I575" s="15" t="s">
        <v>121</v>
      </c>
      <c r="J575" s="1"/>
      <c r="K575" s="1"/>
      <c r="L575" s="1"/>
      <c r="M575" s="1"/>
      <c r="N575" s="1"/>
    </row>
    <row r="576" spans="1:14" hidden="1" x14ac:dyDescent="0.25">
      <c r="A576" s="1"/>
      <c r="B576" s="15" t="s">
        <v>121</v>
      </c>
      <c r="C576" s="15" t="s">
        <v>1161</v>
      </c>
      <c r="D576" s="15" t="s">
        <v>1162</v>
      </c>
      <c r="E576" s="16" t="s">
        <v>18</v>
      </c>
      <c r="F576" s="17"/>
      <c r="G576" cm="1">
        <f t="array" ref="G576">IFERROR(_xlfn.XLOOKUP(Pedido891011121412131617181921192223[[#This Row],[Id de Producto]],[1]!Precios[[#All],[Id de Producto]],[1]!Precios[[#All],[Coste estándar]])*Pedido891011121412131617181921192223[[#This Row],[Pedido]],0)</f>
        <v>0</v>
      </c>
      <c r="H576" s="15">
        <v>0</v>
      </c>
      <c r="I576" s="15" t="s">
        <v>121</v>
      </c>
      <c r="J576" s="1"/>
      <c r="K576" s="1"/>
      <c r="L576" s="1"/>
      <c r="M576" s="1"/>
      <c r="N576" s="1"/>
    </row>
    <row r="577" spans="1:14" hidden="1" x14ac:dyDescent="0.25">
      <c r="A577" s="1"/>
      <c r="B577" s="16" t="s">
        <v>781</v>
      </c>
      <c r="C577" s="15" t="s">
        <v>1163</v>
      </c>
      <c r="D577" s="16" t="s">
        <v>1164</v>
      </c>
      <c r="E577" s="16" t="s">
        <v>22</v>
      </c>
      <c r="F577" s="17"/>
      <c r="G577" cm="1">
        <f t="array" ref="G577">IFERROR(_xlfn.XLOOKUP(Pedido891011121412131617181921192223[[#This Row],[Id de Producto]],[1]!Precios[[#All],[Id de Producto]],[1]!Precios[[#All],[Coste estándar]])*Pedido891011121412131617181921192223[[#This Row],[Pedido]],0)</f>
        <v>0</v>
      </c>
      <c r="H577" s="18">
        <v>0</v>
      </c>
      <c r="I577" s="15" t="s">
        <v>781</v>
      </c>
      <c r="J577" s="1"/>
      <c r="K577" s="1"/>
      <c r="L577" s="1"/>
      <c r="M577" s="1"/>
      <c r="N577" s="1"/>
    </row>
    <row r="578" spans="1:14" hidden="1" x14ac:dyDescent="0.25">
      <c r="A578" s="1"/>
      <c r="B578" s="16" t="s">
        <v>781</v>
      </c>
      <c r="C578" s="15" t="s">
        <v>1165</v>
      </c>
      <c r="D578" s="16" t="s">
        <v>1166</v>
      </c>
      <c r="E578" s="16" t="s">
        <v>22</v>
      </c>
      <c r="F578" s="17"/>
      <c r="G578" cm="1">
        <f t="array" ref="G578">IFERROR(_xlfn.XLOOKUP(Pedido891011121412131617181921192223[[#This Row],[Id de Producto]],[1]!Precios[[#All],[Id de Producto]],[1]!Precios[[#All],[Coste estándar]])*Pedido891011121412131617181921192223[[#This Row],[Pedido]],0)</f>
        <v>0</v>
      </c>
      <c r="H578" s="18">
        <v>0</v>
      </c>
      <c r="I578" s="15" t="s">
        <v>781</v>
      </c>
      <c r="J578" s="1"/>
      <c r="K578" s="1"/>
      <c r="L578" s="1"/>
      <c r="M578" s="1"/>
      <c r="N578" s="1"/>
    </row>
    <row r="579" spans="1:14" hidden="1" x14ac:dyDescent="0.25">
      <c r="A579" s="1"/>
      <c r="B579" s="16" t="s">
        <v>781</v>
      </c>
      <c r="C579" s="15" t="s">
        <v>1167</v>
      </c>
      <c r="D579" s="16" t="s">
        <v>1168</v>
      </c>
      <c r="E579" s="16" t="s">
        <v>22</v>
      </c>
      <c r="F579" s="17"/>
      <c r="G579" cm="1">
        <f t="array" ref="G579">IFERROR(_xlfn.XLOOKUP(Pedido891011121412131617181921192223[[#This Row],[Id de Producto]],[1]!Precios[[#All],[Id de Producto]],[1]!Precios[[#All],[Coste estándar]])*Pedido891011121412131617181921192223[[#This Row],[Pedido]],0)</f>
        <v>0</v>
      </c>
      <c r="H579" s="18">
        <v>0</v>
      </c>
      <c r="I579" s="15" t="s">
        <v>781</v>
      </c>
      <c r="J579" s="1"/>
      <c r="K579" s="1"/>
      <c r="L579" s="1"/>
      <c r="M579" s="1"/>
      <c r="N579" s="1"/>
    </row>
    <row r="580" spans="1:14" hidden="1" x14ac:dyDescent="0.25">
      <c r="A580" s="1"/>
      <c r="B580" s="16" t="s">
        <v>121</v>
      </c>
      <c r="C580" s="15" t="s">
        <v>1169</v>
      </c>
      <c r="D580" s="16" t="s">
        <v>1170</v>
      </c>
      <c r="E580" s="16" t="s">
        <v>22</v>
      </c>
      <c r="F580" s="17"/>
      <c r="G580" cm="1">
        <f t="array" ref="G580">IFERROR(_xlfn.XLOOKUP(Pedido891011121412131617181921192223[[#This Row],[Id de Producto]],[1]!Precios[[#All],[Id de Producto]],[1]!Precios[[#All],[Coste estándar]])*Pedido891011121412131617181921192223[[#This Row],[Pedido]],0)</f>
        <v>0</v>
      </c>
      <c r="H580" s="18">
        <v>0</v>
      </c>
      <c r="I580" s="15" t="s">
        <v>121</v>
      </c>
      <c r="J580" s="1"/>
      <c r="K580" s="1"/>
      <c r="L580" s="1"/>
      <c r="M580" s="1"/>
      <c r="N580" s="1"/>
    </row>
    <row r="581" spans="1:14" hidden="1" x14ac:dyDescent="0.25">
      <c r="A581" s="1"/>
      <c r="B581" s="15" t="s">
        <v>825</v>
      </c>
      <c r="C581" s="15" t="s">
        <v>1171</v>
      </c>
      <c r="D581" s="15" t="s">
        <v>1172</v>
      </c>
      <c r="E581" s="16" t="s">
        <v>26</v>
      </c>
      <c r="F581" s="17"/>
      <c r="G581" cm="1">
        <f t="array" ref="G581">IFERROR(_xlfn.XLOOKUP(Pedido891011121412131617181921192223[[#This Row],[Id de Producto]],[1]!Precios[[#All],[Id de Producto]],[1]!Precios[[#All],[Coste estándar]])*Pedido891011121412131617181921192223[[#This Row],[Pedido]],0)</f>
        <v>0</v>
      </c>
      <c r="H581" s="18">
        <v>0</v>
      </c>
      <c r="I581" s="16" t="s">
        <v>23</v>
      </c>
      <c r="J581" s="1"/>
      <c r="K581" s="1"/>
      <c r="L581" s="1"/>
      <c r="M581" s="1"/>
      <c r="N581" s="1"/>
    </row>
    <row r="582" spans="1:14" hidden="1" x14ac:dyDescent="0.25">
      <c r="A582" s="1"/>
      <c r="B582" s="16" t="s">
        <v>825</v>
      </c>
      <c r="C582" s="15" t="s">
        <v>1173</v>
      </c>
      <c r="D582" s="16" t="s">
        <v>1174</v>
      </c>
      <c r="E582" s="16" t="s">
        <v>26</v>
      </c>
      <c r="F582" s="17"/>
      <c r="G582" cm="1">
        <f t="array" ref="G582">IFERROR(_xlfn.XLOOKUP(Pedido891011121412131617181921192223[[#This Row],[Id de Producto]],[1]!Precios[[#All],[Id de Producto]],[1]!Precios[[#All],[Coste estándar]])*Pedido891011121412131617181921192223[[#This Row],[Pedido]],0)</f>
        <v>0</v>
      </c>
      <c r="H582" s="18">
        <v>0</v>
      </c>
      <c r="I582" s="16" t="s">
        <v>23</v>
      </c>
      <c r="J582" s="1"/>
      <c r="K582" s="1"/>
      <c r="L582" s="1"/>
      <c r="M582" s="1"/>
      <c r="N582" s="1"/>
    </row>
    <row r="583" spans="1:14" hidden="1" x14ac:dyDescent="0.25">
      <c r="A583" s="1"/>
      <c r="B583" s="16" t="s">
        <v>825</v>
      </c>
      <c r="C583" s="15" t="s">
        <v>1175</v>
      </c>
      <c r="D583" s="16" t="s">
        <v>1176</v>
      </c>
      <c r="E583" s="16" t="s">
        <v>26</v>
      </c>
      <c r="F583" s="17"/>
      <c r="G583" cm="1">
        <f t="array" ref="G583">IFERROR(_xlfn.XLOOKUP(Pedido891011121412131617181921192223[[#This Row],[Id de Producto]],[1]!Precios[[#All],[Id de Producto]],[1]!Precios[[#All],[Coste estándar]])*Pedido891011121412131617181921192223[[#This Row],[Pedido]],0)</f>
        <v>0</v>
      </c>
      <c r="H583" s="18">
        <v>0</v>
      </c>
      <c r="I583" s="16" t="s">
        <v>23</v>
      </c>
      <c r="J583" s="1"/>
      <c r="K583" s="1"/>
      <c r="L583" s="1"/>
      <c r="M583" s="1"/>
      <c r="N583" s="1"/>
    </row>
    <row r="584" spans="1:14" hidden="1" x14ac:dyDescent="0.25">
      <c r="A584" s="1"/>
      <c r="B584" s="16" t="s">
        <v>825</v>
      </c>
      <c r="C584" s="15" t="s">
        <v>1177</v>
      </c>
      <c r="D584" s="16" t="s">
        <v>1178</v>
      </c>
      <c r="E584" s="16" t="s">
        <v>26</v>
      </c>
      <c r="F584" s="17"/>
      <c r="G584" cm="1">
        <f t="array" ref="G584">IFERROR(_xlfn.XLOOKUP(Pedido891011121412131617181921192223[[#This Row],[Id de Producto]],[1]!Precios[[#All],[Id de Producto]],[1]!Precios[[#All],[Coste estándar]])*Pedido891011121412131617181921192223[[#This Row],[Pedido]],0)</f>
        <v>0</v>
      </c>
      <c r="H584" s="18">
        <v>0</v>
      </c>
      <c r="I584" s="16" t="s">
        <v>23</v>
      </c>
      <c r="J584" s="1"/>
      <c r="K584" s="1"/>
      <c r="L584" s="1"/>
      <c r="M584" s="1"/>
      <c r="N584" s="1"/>
    </row>
    <row r="585" spans="1:14" hidden="1" x14ac:dyDescent="0.25">
      <c r="A585" s="1"/>
      <c r="B585" s="15" t="s">
        <v>825</v>
      </c>
      <c r="C585" s="15" t="s">
        <v>1179</v>
      </c>
      <c r="D585" s="15" t="s">
        <v>1180</v>
      </c>
      <c r="E585" s="16" t="s">
        <v>26</v>
      </c>
      <c r="F585" s="17"/>
      <c r="G585" cm="1">
        <f t="array" ref="G585">IFERROR(_xlfn.XLOOKUP(Pedido891011121412131617181921192223[[#This Row],[Id de Producto]],[1]!Precios[[#All],[Id de Producto]],[1]!Precios[[#All],[Coste estándar]])*Pedido891011121412131617181921192223[[#This Row],[Pedido]],0)</f>
        <v>0</v>
      </c>
      <c r="H585" s="18">
        <v>0</v>
      </c>
      <c r="I585" s="16" t="s">
        <v>23</v>
      </c>
      <c r="J585" s="1"/>
      <c r="K585" s="1"/>
      <c r="L585" s="1"/>
      <c r="M585" s="1"/>
      <c r="N585" s="1"/>
    </row>
    <row r="586" spans="1:14" hidden="1" x14ac:dyDescent="0.25">
      <c r="A586" s="1"/>
      <c r="B586" s="15" t="s">
        <v>907</v>
      </c>
      <c r="C586" s="15" t="s">
        <v>1181</v>
      </c>
      <c r="D586" s="15" t="s">
        <v>1182</v>
      </c>
      <c r="E586" s="16" t="s">
        <v>22</v>
      </c>
      <c r="F586" s="17"/>
      <c r="G586" cm="1">
        <f t="array" ref="G586">IFERROR(_xlfn.XLOOKUP(Pedido891011121412131617181921192223[[#This Row],[Id de Producto]],[1]!Precios[[#All],[Id de Producto]],[1]!Precios[[#All],[Coste estándar]])*Pedido891011121412131617181921192223[[#This Row],[Pedido]],0)</f>
        <v>0</v>
      </c>
      <c r="H586" s="15">
        <v>0</v>
      </c>
      <c r="I586" s="15" t="s">
        <v>121</v>
      </c>
      <c r="J586" s="1"/>
      <c r="K586" s="1"/>
      <c r="L586" s="1"/>
      <c r="M586" s="1"/>
      <c r="N586" s="1"/>
    </row>
    <row r="587" spans="1:14" hidden="1" x14ac:dyDescent="0.25">
      <c r="A587" s="1"/>
      <c r="B587" s="15" t="s">
        <v>781</v>
      </c>
      <c r="C587" s="15" t="s">
        <v>1183</v>
      </c>
      <c r="D587" s="15" t="s">
        <v>1184</v>
      </c>
      <c r="E587" s="16" t="s">
        <v>26</v>
      </c>
      <c r="F587" s="17"/>
      <c r="G587" cm="1">
        <f t="array" ref="G587">IFERROR(_xlfn.XLOOKUP(Pedido891011121412131617181921192223[[#This Row],[Id de Producto]],[1]!Precios[[#All],[Id de Producto]],[1]!Precios[[#All],[Coste estándar]])*Pedido891011121412131617181921192223[[#This Row],[Pedido]],0)</f>
        <v>0</v>
      </c>
      <c r="H587" s="15">
        <v>0</v>
      </c>
      <c r="I587" s="15" t="s">
        <v>781</v>
      </c>
      <c r="J587" s="1"/>
      <c r="K587" s="1"/>
      <c r="L587" s="1"/>
      <c r="M587" s="1"/>
      <c r="N587" s="1"/>
    </row>
    <row r="588" spans="1:14" hidden="1" x14ac:dyDescent="0.25">
      <c r="A588" s="1"/>
      <c r="B588" s="16" t="s">
        <v>781</v>
      </c>
      <c r="C588" s="15" t="s">
        <v>1185</v>
      </c>
      <c r="D588" s="15" t="s">
        <v>1186</v>
      </c>
      <c r="E588" s="16" t="s">
        <v>26</v>
      </c>
      <c r="F588" s="17"/>
      <c r="G588" cm="1">
        <f t="array" ref="G588">IFERROR(_xlfn.XLOOKUP(Pedido891011121412131617181921192223[[#This Row],[Id de Producto]],[1]!Precios[[#All],[Id de Producto]],[1]!Precios[[#All],[Coste estándar]])*Pedido891011121412131617181921192223[[#This Row],[Pedido]],0)</f>
        <v>0</v>
      </c>
      <c r="H588" s="18">
        <v>0</v>
      </c>
      <c r="I588" s="15" t="s">
        <v>781</v>
      </c>
      <c r="J588" s="1"/>
      <c r="K588" s="1"/>
      <c r="L588" s="1"/>
      <c r="M588" s="1"/>
      <c r="N588" s="1"/>
    </row>
    <row r="589" spans="1:14" hidden="1" x14ac:dyDescent="0.25">
      <c r="A589" s="1"/>
      <c r="B589" s="15" t="s">
        <v>781</v>
      </c>
      <c r="C589" s="15" t="s">
        <v>1187</v>
      </c>
      <c r="D589" s="15" t="s">
        <v>1188</v>
      </c>
      <c r="E589" s="16" t="s">
        <v>26</v>
      </c>
      <c r="F589" s="17"/>
      <c r="G589" cm="1">
        <f t="array" ref="G589">IFERROR(_xlfn.XLOOKUP(Pedido891011121412131617181921192223[[#This Row],[Id de Producto]],[1]!Precios[[#All],[Id de Producto]],[1]!Precios[[#All],[Coste estándar]])*Pedido891011121412131617181921192223[[#This Row],[Pedido]],0)</f>
        <v>0</v>
      </c>
      <c r="H589" s="15">
        <v>0</v>
      </c>
      <c r="I589" s="15" t="s">
        <v>781</v>
      </c>
      <c r="J589" s="1"/>
      <c r="K589" s="1"/>
      <c r="L589" s="1"/>
      <c r="M589" s="1"/>
      <c r="N589" s="1"/>
    </row>
    <row r="590" spans="1:14" hidden="1" x14ac:dyDescent="0.25">
      <c r="A590" s="1"/>
      <c r="B590" s="15" t="s">
        <v>781</v>
      </c>
      <c r="C590" s="15" t="s">
        <v>1189</v>
      </c>
      <c r="D590" s="15" t="s">
        <v>1190</v>
      </c>
      <c r="E590" s="16" t="s">
        <v>26</v>
      </c>
      <c r="F590" s="17"/>
      <c r="G590" cm="1">
        <f t="array" ref="G590">IFERROR(_xlfn.XLOOKUP(Pedido891011121412131617181921192223[[#This Row],[Id de Producto]],[1]!Precios[[#All],[Id de Producto]],[1]!Precios[[#All],[Coste estándar]])*Pedido891011121412131617181921192223[[#This Row],[Pedido]],0)</f>
        <v>0</v>
      </c>
      <c r="H590" s="15">
        <v>0</v>
      </c>
      <c r="I590" s="15" t="s">
        <v>781</v>
      </c>
      <c r="J590" s="1"/>
      <c r="K590" s="1"/>
      <c r="L590" s="1"/>
      <c r="M590" s="1"/>
      <c r="N590" s="1"/>
    </row>
    <row r="591" spans="1:14" hidden="1" x14ac:dyDescent="0.25">
      <c r="A591" s="1"/>
      <c r="B591" s="15" t="s">
        <v>781</v>
      </c>
      <c r="C591" s="15" t="s">
        <v>1191</v>
      </c>
      <c r="D591" s="15" t="s">
        <v>1192</v>
      </c>
      <c r="E591" s="16" t="s">
        <v>26</v>
      </c>
      <c r="F591" s="17"/>
      <c r="G591" cm="1">
        <f t="array" ref="G591">IFERROR(_xlfn.XLOOKUP(Pedido891011121412131617181921192223[[#This Row],[Id de Producto]],[1]!Precios[[#All],[Id de Producto]],[1]!Precios[[#All],[Coste estándar]])*Pedido891011121412131617181921192223[[#This Row],[Pedido]],0)</f>
        <v>0</v>
      </c>
      <c r="H591" s="15">
        <v>0</v>
      </c>
      <c r="I591" s="15" t="s">
        <v>781</v>
      </c>
      <c r="J591" s="1"/>
      <c r="K591" s="1"/>
      <c r="L591" s="1"/>
      <c r="M591" s="1"/>
      <c r="N591" s="1"/>
    </row>
    <row r="592" spans="1:14" hidden="1" x14ac:dyDescent="0.25">
      <c r="A592" s="1"/>
      <c r="B592" s="15" t="s">
        <v>781</v>
      </c>
      <c r="C592" s="15" t="s">
        <v>1193</v>
      </c>
      <c r="D592" s="15" t="s">
        <v>1194</v>
      </c>
      <c r="E592" s="16" t="s">
        <v>22</v>
      </c>
      <c r="F592" s="17"/>
      <c r="G592" cm="1">
        <f t="array" ref="G592">IFERROR(_xlfn.XLOOKUP(Pedido891011121412131617181921192223[[#This Row],[Id de Producto]],[1]!Precios[[#All],[Id de Producto]],[1]!Precios[[#All],[Coste estándar]])*Pedido891011121412131617181921192223[[#This Row],[Pedido]],0)</f>
        <v>0</v>
      </c>
      <c r="H592" s="15">
        <v>0</v>
      </c>
      <c r="I592" s="15" t="s">
        <v>781</v>
      </c>
      <c r="J592" s="1"/>
      <c r="K592" s="1"/>
      <c r="L592" s="1"/>
      <c r="M592" s="1"/>
      <c r="N592" s="1"/>
    </row>
    <row r="593" spans="1:14" hidden="1" x14ac:dyDescent="0.25">
      <c r="A593" s="1"/>
      <c r="B593" s="15" t="s">
        <v>781</v>
      </c>
      <c r="C593" s="15" t="s">
        <v>1195</v>
      </c>
      <c r="D593" s="15" t="s">
        <v>1196</v>
      </c>
      <c r="E593" s="16" t="s">
        <v>26</v>
      </c>
      <c r="F593" s="17"/>
      <c r="G593" cm="1">
        <f t="array" ref="G593">IFERROR(_xlfn.XLOOKUP(Pedido891011121412131617181921192223[[#This Row],[Id de Producto]],[1]!Precios[[#All],[Id de Producto]],[1]!Precios[[#All],[Coste estándar]])*Pedido891011121412131617181921192223[[#This Row],[Pedido]],0)</f>
        <v>0</v>
      </c>
      <c r="H593" s="15">
        <v>0</v>
      </c>
      <c r="I593" s="15" t="s">
        <v>781</v>
      </c>
      <c r="J593" s="1"/>
      <c r="K593" s="1"/>
      <c r="L593" s="1"/>
      <c r="M593" s="1"/>
      <c r="N593" s="1"/>
    </row>
    <row r="594" spans="1:14" hidden="1" x14ac:dyDescent="0.25">
      <c r="A594" s="1"/>
      <c r="B594" s="16" t="s">
        <v>781</v>
      </c>
      <c r="C594" s="15" t="s">
        <v>1197</v>
      </c>
      <c r="D594" s="15" t="s">
        <v>1198</v>
      </c>
      <c r="E594" s="16" t="s">
        <v>26</v>
      </c>
      <c r="F594" s="17"/>
      <c r="G594" cm="1">
        <f t="array" ref="G594">IFERROR(_xlfn.XLOOKUP(Pedido891011121412131617181921192223[[#This Row],[Id de Producto]],[1]!Precios[[#All],[Id de Producto]],[1]!Precios[[#All],[Coste estándar]])*Pedido891011121412131617181921192223[[#This Row],[Pedido]],0)</f>
        <v>0</v>
      </c>
      <c r="H594" s="18">
        <v>0</v>
      </c>
      <c r="I594" s="15" t="s">
        <v>781</v>
      </c>
      <c r="J594" s="1"/>
      <c r="K594" s="1"/>
      <c r="L594" s="1"/>
      <c r="M594" s="1"/>
      <c r="N594" s="1"/>
    </row>
    <row r="595" spans="1:14" hidden="1" x14ac:dyDescent="0.25">
      <c r="A595" s="1"/>
      <c r="B595" s="15" t="s">
        <v>781</v>
      </c>
      <c r="C595" s="15" t="s">
        <v>1199</v>
      </c>
      <c r="D595" s="15" t="s">
        <v>1200</v>
      </c>
      <c r="E595" s="16" t="s">
        <v>26</v>
      </c>
      <c r="F595" s="17"/>
      <c r="G595" cm="1">
        <f t="array" ref="G595">IFERROR(_xlfn.XLOOKUP(Pedido891011121412131617181921192223[[#This Row],[Id de Producto]],[1]!Precios[[#All],[Id de Producto]],[1]!Precios[[#All],[Coste estándar]])*Pedido891011121412131617181921192223[[#This Row],[Pedido]],0)</f>
        <v>0</v>
      </c>
      <c r="H595" s="15">
        <v>0</v>
      </c>
      <c r="I595" s="15" t="s">
        <v>781</v>
      </c>
      <c r="J595" s="1"/>
      <c r="K595" s="1"/>
      <c r="L595" s="1"/>
      <c r="M595" s="1"/>
      <c r="N595" s="1"/>
    </row>
    <row r="596" spans="1:14" hidden="1" x14ac:dyDescent="0.25">
      <c r="A596" s="1"/>
      <c r="B596" s="15" t="s">
        <v>781</v>
      </c>
      <c r="C596" s="15" t="s">
        <v>1201</v>
      </c>
      <c r="D596" s="15" t="s">
        <v>1202</v>
      </c>
      <c r="E596" s="16" t="s">
        <v>26</v>
      </c>
      <c r="F596" s="17"/>
      <c r="G596" cm="1">
        <f t="array" ref="G596">IFERROR(_xlfn.XLOOKUP(Pedido891011121412131617181921192223[[#This Row],[Id de Producto]],[1]!Precios[[#All],[Id de Producto]],[1]!Precios[[#All],[Coste estándar]])*Pedido891011121412131617181921192223[[#This Row],[Pedido]],0)</f>
        <v>0</v>
      </c>
      <c r="H596" s="15">
        <v>0</v>
      </c>
      <c r="I596" s="15" t="s">
        <v>781</v>
      </c>
      <c r="J596" s="1"/>
      <c r="K596" s="1"/>
      <c r="L596" s="1"/>
      <c r="M596" s="1"/>
      <c r="N596" s="1"/>
    </row>
    <row r="597" spans="1:14" hidden="1" x14ac:dyDescent="0.25">
      <c r="A597" s="1"/>
      <c r="B597" s="16" t="s">
        <v>781</v>
      </c>
      <c r="C597" s="15" t="s">
        <v>1203</v>
      </c>
      <c r="D597" s="15" t="s">
        <v>1204</v>
      </c>
      <c r="E597" s="16" t="s">
        <v>26</v>
      </c>
      <c r="F597" s="17"/>
      <c r="G597" cm="1">
        <f t="array" ref="G597">IFERROR(_xlfn.XLOOKUP(Pedido891011121412131617181921192223[[#This Row],[Id de Producto]],[1]!Precios[[#All],[Id de Producto]],[1]!Precios[[#All],[Coste estándar]])*Pedido891011121412131617181921192223[[#This Row],[Pedido]],0)</f>
        <v>0</v>
      </c>
      <c r="H597" s="18">
        <v>0</v>
      </c>
      <c r="I597" s="15" t="s">
        <v>781</v>
      </c>
      <c r="J597" s="1"/>
      <c r="K597" s="1"/>
      <c r="L597" s="1"/>
      <c r="M597" s="1"/>
      <c r="N597" s="1"/>
    </row>
    <row r="598" spans="1:14" hidden="1" x14ac:dyDescent="0.25">
      <c r="A598" s="1"/>
      <c r="B598" s="16" t="s">
        <v>781</v>
      </c>
      <c r="C598" s="15" t="s">
        <v>1205</v>
      </c>
      <c r="D598" s="15" t="s">
        <v>1206</v>
      </c>
      <c r="E598" s="16" t="s">
        <v>26</v>
      </c>
      <c r="F598" s="17"/>
      <c r="G598" cm="1">
        <f t="array" ref="G598">IFERROR(_xlfn.XLOOKUP(Pedido891011121412131617181921192223[[#This Row],[Id de Producto]],[1]!Precios[[#All],[Id de Producto]],[1]!Precios[[#All],[Coste estándar]])*Pedido891011121412131617181921192223[[#This Row],[Pedido]],0)</f>
        <v>0</v>
      </c>
      <c r="H598" s="18">
        <v>0</v>
      </c>
      <c r="I598" s="15" t="s">
        <v>781</v>
      </c>
      <c r="J598" s="1"/>
      <c r="K598" s="1"/>
      <c r="L598" s="1"/>
      <c r="M598" s="1"/>
      <c r="N598" s="1"/>
    </row>
    <row r="599" spans="1:14" hidden="1" x14ac:dyDescent="0.25">
      <c r="A599" s="1"/>
      <c r="B599" s="15" t="s">
        <v>781</v>
      </c>
      <c r="C599" s="15" t="s">
        <v>1207</v>
      </c>
      <c r="D599" s="15" t="s">
        <v>1208</v>
      </c>
      <c r="E599" s="16" t="s">
        <v>26</v>
      </c>
      <c r="F599" s="17"/>
      <c r="G599" cm="1">
        <f t="array" ref="G599">IFERROR(_xlfn.XLOOKUP(Pedido891011121412131617181921192223[[#This Row],[Id de Producto]],[1]!Precios[[#All],[Id de Producto]],[1]!Precios[[#All],[Coste estándar]])*Pedido891011121412131617181921192223[[#This Row],[Pedido]],0)</f>
        <v>0</v>
      </c>
      <c r="H599" s="15">
        <v>0</v>
      </c>
      <c r="I599" s="15" t="s">
        <v>781</v>
      </c>
      <c r="J599" s="1"/>
      <c r="K599" s="1"/>
      <c r="L599" s="1"/>
      <c r="M599" s="1"/>
      <c r="N599" s="1"/>
    </row>
    <row r="600" spans="1:14" hidden="1" x14ac:dyDescent="0.25">
      <c r="A600" s="1"/>
      <c r="B600" s="15" t="s">
        <v>781</v>
      </c>
      <c r="C600" s="15" t="s">
        <v>1209</v>
      </c>
      <c r="D600" s="15" t="s">
        <v>1210</v>
      </c>
      <c r="E600" s="16" t="s">
        <v>26</v>
      </c>
      <c r="F600" s="17"/>
      <c r="G600" cm="1">
        <f t="array" ref="G600">IFERROR(_xlfn.XLOOKUP(Pedido891011121412131617181921192223[[#This Row],[Id de Producto]],[1]!Precios[[#All],[Id de Producto]],[1]!Precios[[#All],[Coste estándar]])*Pedido891011121412131617181921192223[[#This Row],[Pedido]],0)</f>
        <v>0</v>
      </c>
      <c r="H600" s="15">
        <v>0</v>
      </c>
      <c r="I600" s="15" t="s">
        <v>781</v>
      </c>
      <c r="J600" s="1"/>
      <c r="K600" s="1"/>
      <c r="L600" s="1"/>
      <c r="M600" s="1"/>
      <c r="N600" s="1"/>
    </row>
    <row r="601" spans="1:14" hidden="1" x14ac:dyDescent="0.25">
      <c r="A601" s="1"/>
      <c r="B601" s="16" t="s">
        <v>781</v>
      </c>
      <c r="C601" s="15" t="s">
        <v>1211</v>
      </c>
      <c r="D601" s="15" t="s">
        <v>1212</v>
      </c>
      <c r="E601" s="16" t="s">
        <v>26</v>
      </c>
      <c r="F601" s="17"/>
      <c r="G601" cm="1">
        <f t="array" ref="G601">IFERROR(_xlfn.XLOOKUP(Pedido891011121412131617181921192223[[#This Row],[Id de Producto]],[1]!Precios[[#All],[Id de Producto]],[1]!Precios[[#All],[Coste estándar]])*Pedido891011121412131617181921192223[[#This Row],[Pedido]],0)</f>
        <v>0</v>
      </c>
      <c r="H601" s="18">
        <v>0</v>
      </c>
      <c r="I601" s="15" t="s">
        <v>781</v>
      </c>
      <c r="J601" s="1"/>
      <c r="K601" s="1"/>
      <c r="L601" s="1"/>
      <c r="M601" s="1"/>
      <c r="N601" s="1"/>
    </row>
    <row r="602" spans="1:14" hidden="1" x14ac:dyDescent="0.25">
      <c r="A602" s="1"/>
      <c r="B602" s="16" t="s">
        <v>781</v>
      </c>
      <c r="C602" s="15" t="s">
        <v>1213</v>
      </c>
      <c r="D602" s="15" t="s">
        <v>1214</v>
      </c>
      <c r="E602" s="16" t="s">
        <v>26</v>
      </c>
      <c r="F602" s="17"/>
      <c r="G602" cm="1">
        <f t="array" ref="G602">IFERROR(_xlfn.XLOOKUP(Pedido891011121412131617181921192223[[#This Row],[Id de Producto]],[1]!Precios[[#All],[Id de Producto]],[1]!Precios[[#All],[Coste estándar]])*Pedido891011121412131617181921192223[[#This Row],[Pedido]],0)</f>
        <v>0</v>
      </c>
      <c r="H602" s="18">
        <v>0</v>
      </c>
      <c r="I602" s="15" t="s">
        <v>781</v>
      </c>
      <c r="J602" s="1"/>
      <c r="K602" s="1"/>
      <c r="L602" s="1"/>
      <c r="M602" s="1"/>
      <c r="N602" s="1"/>
    </row>
    <row r="603" spans="1:14" hidden="1" x14ac:dyDescent="0.25">
      <c r="A603" s="1"/>
      <c r="B603" s="15" t="s">
        <v>781</v>
      </c>
      <c r="C603" s="15" t="s">
        <v>1215</v>
      </c>
      <c r="D603" s="15" t="s">
        <v>1216</v>
      </c>
      <c r="E603" s="16" t="s">
        <v>26</v>
      </c>
      <c r="F603" s="17"/>
      <c r="G603" cm="1">
        <f t="array" ref="G603">IFERROR(_xlfn.XLOOKUP(Pedido891011121412131617181921192223[[#This Row],[Id de Producto]],[1]!Precios[[#All],[Id de Producto]],[1]!Precios[[#All],[Coste estándar]])*Pedido891011121412131617181921192223[[#This Row],[Pedido]],0)</f>
        <v>0</v>
      </c>
      <c r="H603" s="15">
        <v>0</v>
      </c>
      <c r="I603" s="15" t="s">
        <v>781</v>
      </c>
      <c r="J603" s="1"/>
      <c r="K603" s="1"/>
      <c r="L603" s="1"/>
      <c r="M603" s="1"/>
      <c r="N603" s="1"/>
    </row>
    <row r="604" spans="1:14" hidden="1" x14ac:dyDescent="0.25">
      <c r="A604" s="1"/>
      <c r="B604" s="15" t="s">
        <v>781</v>
      </c>
      <c r="C604" s="15" t="s">
        <v>1217</v>
      </c>
      <c r="D604" s="15" t="s">
        <v>1218</v>
      </c>
      <c r="E604" s="16" t="s">
        <v>26</v>
      </c>
      <c r="F604" s="17"/>
      <c r="G604" cm="1">
        <f t="array" ref="G604">IFERROR(_xlfn.XLOOKUP(Pedido891011121412131617181921192223[[#This Row],[Id de Producto]],[1]!Precios[[#All],[Id de Producto]],[1]!Precios[[#All],[Coste estándar]])*Pedido891011121412131617181921192223[[#This Row],[Pedido]],0)</f>
        <v>0</v>
      </c>
      <c r="H604" s="15">
        <v>0</v>
      </c>
      <c r="I604" s="15" t="s">
        <v>781</v>
      </c>
      <c r="J604" s="1"/>
      <c r="K604" s="1"/>
      <c r="L604" s="1"/>
      <c r="M604" s="1"/>
      <c r="N604" s="1"/>
    </row>
    <row r="605" spans="1:14" hidden="1" x14ac:dyDescent="0.25">
      <c r="A605" s="1"/>
      <c r="B605" s="15" t="s">
        <v>781</v>
      </c>
      <c r="C605" s="15" t="s">
        <v>1219</v>
      </c>
      <c r="D605" s="15" t="s">
        <v>1220</v>
      </c>
      <c r="E605" s="16" t="s">
        <v>26</v>
      </c>
      <c r="F605" s="17"/>
      <c r="G605" cm="1">
        <f t="array" ref="G605">IFERROR(_xlfn.XLOOKUP(Pedido891011121412131617181921192223[[#This Row],[Id de Producto]],[1]!Precios[[#All],[Id de Producto]],[1]!Precios[[#All],[Coste estándar]])*Pedido891011121412131617181921192223[[#This Row],[Pedido]],0)</f>
        <v>0</v>
      </c>
      <c r="H605" s="15">
        <v>0</v>
      </c>
      <c r="I605" s="15" t="s">
        <v>781</v>
      </c>
      <c r="J605" s="1"/>
      <c r="K605" s="1"/>
      <c r="L605" s="1"/>
      <c r="M605" s="1"/>
      <c r="N605" s="1"/>
    </row>
    <row r="606" spans="1:14" hidden="1" x14ac:dyDescent="0.25">
      <c r="A606" s="1"/>
      <c r="B606" s="16" t="s">
        <v>781</v>
      </c>
      <c r="C606" s="15" t="s">
        <v>1221</v>
      </c>
      <c r="D606" s="15" t="s">
        <v>1222</v>
      </c>
      <c r="E606" s="16" t="s">
        <v>18</v>
      </c>
      <c r="F606" s="17"/>
      <c r="G606" cm="1">
        <f t="array" ref="G606">IFERROR(_xlfn.XLOOKUP(Pedido891011121412131617181921192223[[#This Row],[Id de Producto]],[1]!Precios[[#All],[Id de Producto]],[1]!Precios[[#All],[Coste estándar]])*Pedido891011121412131617181921192223[[#This Row],[Pedido]],0)</f>
        <v>0</v>
      </c>
      <c r="H606" s="18">
        <v>0</v>
      </c>
      <c r="I606" s="15" t="s">
        <v>781</v>
      </c>
      <c r="J606" s="1"/>
      <c r="K606" s="1"/>
      <c r="L606" s="1"/>
      <c r="M606" s="1"/>
      <c r="N606" s="1"/>
    </row>
    <row r="607" spans="1:14" hidden="1" x14ac:dyDescent="0.25">
      <c r="A607" s="1"/>
      <c r="B607" s="15" t="s">
        <v>781</v>
      </c>
      <c r="C607" s="15" t="s">
        <v>1223</v>
      </c>
      <c r="D607" s="15" t="s">
        <v>1224</v>
      </c>
      <c r="E607" s="16" t="s">
        <v>26</v>
      </c>
      <c r="F607" s="17"/>
      <c r="G607" cm="1">
        <f t="array" ref="G607">IFERROR(_xlfn.XLOOKUP(Pedido891011121412131617181921192223[[#This Row],[Id de Producto]],[1]!Precios[[#All],[Id de Producto]],[1]!Precios[[#All],[Coste estándar]])*Pedido891011121412131617181921192223[[#This Row],[Pedido]],0)</f>
        <v>0</v>
      </c>
      <c r="H607" s="15">
        <v>0</v>
      </c>
      <c r="I607" s="15" t="s">
        <v>781</v>
      </c>
      <c r="J607" s="1"/>
      <c r="K607" s="1"/>
      <c r="L607" s="1"/>
      <c r="M607" s="1"/>
      <c r="N607" s="1"/>
    </row>
    <row r="608" spans="1:14" hidden="1" x14ac:dyDescent="0.25">
      <c r="A608" s="1"/>
      <c r="B608" s="16" t="s">
        <v>781</v>
      </c>
      <c r="C608" s="15" t="s">
        <v>1225</v>
      </c>
      <c r="D608" s="15" t="s">
        <v>1226</v>
      </c>
      <c r="E608" s="16" t="s">
        <v>26</v>
      </c>
      <c r="F608" s="17"/>
      <c r="G608" cm="1">
        <f t="array" ref="G608">IFERROR(_xlfn.XLOOKUP(Pedido891011121412131617181921192223[[#This Row],[Id de Producto]],[1]!Precios[[#All],[Id de Producto]],[1]!Precios[[#All],[Coste estándar]])*Pedido891011121412131617181921192223[[#This Row],[Pedido]],0)</f>
        <v>0</v>
      </c>
      <c r="H608" s="18">
        <v>0</v>
      </c>
      <c r="I608" s="15" t="s">
        <v>781</v>
      </c>
      <c r="J608" s="1"/>
      <c r="K608" s="1"/>
      <c r="L608" s="1"/>
      <c r="M608" s="1"/>
      <c r="N608" s="1"/>
    </row>
    <row r="609" spans="1:14" hidden="1" x14ac:dyDescent="0.25">
      <c r="A609" s="1"/>
      <c r="B609" s="15" t="s">
        <v>781</v>
      </c>
      <c r="C609" s="15" t="s">
        <v>1227</v>
      </c>
      <c r="D609" s="15" t="s">
        <v>1228</v>
      </c>
      <c r="E609" s="16" t="s">
        <v>26</v>
      </c>
      <c r="F609" s="17"/>
      <c r="G609" cm="1">
        <f t="array" ref="G609">IFERROR(_xlfn.XLOOKUP(Pedido891011121412131617181921192223[[#This Row],[Id de Producto]],[1]!Precios[[#All],[Id de Producto]],[1]!Precios[[#All],[Coste estándar]])*Pedido891011121412131617181921192223[[#This Row],[Pedido]],0)</f>
        <v>0</v>
      </c>
      <c r="H609" s="15">
        <v>0</v>
      </c>
      <c r="I609" s="15" t="s">
        <v>781</v>
      </c>
      <c r="J609" s="1"/>
      <c r="K609" s="1"/>
      <c r="L609" s="1"/>
      <c r="M609" s="1"/>
      <c r="N609" s="1"/>
    </row>
    <row r="610" spans="1:14" hidden="1" x14ac:dyDescent="0.25">
      <c r="A610" s="1"/>
      <c r="B610" s="15" t="s">
        <v>781</v>
      </c>
      <c r="C610" s="15" t="s">
        <v>1229</v>
      </c>
      <c r="D610" s="15" t="s">
        <v>1230</v>
      </c>
      <c r="E610" s="16" t="s">
        <v>26</v>
      </c>
      <c r="F610" s="17"/>
      <c r="G610" cm="1">
        <f t="array" ref="G610">IFERROR(_xlfn.XLOOKUP(Pedido891011121412131617181921192223[[#This Row],[Id de Producto]],[1]!Precios[[#All],[Id de Producto]],[1]!Precios[[#All],[Coste estándar]])*Pedido891011121412131617181921192223[[#This Row],[Pedido]],0)</f>
        <v>0</v>
      </c>
      <c r="H610" s="15">
        <v>0</v>
      </c>
      <c r="I610" s="15" t="s">
        <v>781</v>
      </c>
      <c r="J610" s="1"/>
      <c r="K610" s="1"/>
      <c r="L610" s="1"/>
      <c r="M610" s="1"/>
      <c r="N610" s="1"/>
    </row>
    <row r="611" spans="1:14" hidden="1" x14ac:dyDescent="0.25">
      <c r="A611" s="1"/>
      <c r="B611" s="16" t="s">
        <v>781</v>
      </c>
      <c r="C611" s="15" t="s">
        <v>1231</v>
      </c>
      <c r="D611" s="15" t="s">
        <v>1232</v>
      </c>
      <c r="E611" s="16" t="s">
        <v>26</v>
      </c>
      <c r="F611" s="17"/>
      <c r="G611" cm="1">
        <f t="array" ref="G611">IFERROR(_xlfn.XLOOKUP(Pedido891011121412131617181921192223[[#This Row],[Id de Producto]],[1]!Precios[[#All],[Id de Producto]],[1]!Precios[[#All],[Coste estándar]])*Pedido891011121412131617181921192223[[#This Row],[Pedido]],0)</f>
        <v>0</v>
      </c>
      <c r="H611" s="18">
        <v>0</v>
      </c>
      <c r="I611" s="15" t="s">
        <v>781</v>
      </c>
      <c r="J611" s="1"/>
      <c r="K611" s="1"/>
      <c r="L611" s="1"/>
      <c r="M611" s="1"/>
      <c r="N611" s="1"/>
    </row>
    <row r="612" spans="1:14" hidden="1" x14ac:dyDescent="0.25">
      <c r="A612" s="1"/>
      <c r="B612" s="16" t="s">
        <v>781</v>
      </c>
      <c r="C612" s="15" t="s">
        <v>1233</v>
      </c>
      <c r="D612" s="15" t="s">
        <v>1234</v>
      </c>
      <c r="E612" s="16" t="s">
        <v>18</v>
      </c>
      <c r="F612" s="17"/>
      <c r="G612" cm="1">
        <f t="array" ref="G612">IFERROR(_xlfn.XLOOKUP(Pedido891011121412131617181921192223[[#This Row],[Id de Producto]],[1]!Precios[[#All],[Id de Producto]],[1]!Precios[[#All],[Coste estándar]])*Pedido891011121412131617181921192223[[#This Row],[Pedido]],0)</f>
        <v>0</v>
      </c>
      <c r="H612" s="18">
        <v>0</v>
      </c>
      <c r="I612" s="15" t="s">
        <v>781</v>
      </c>
      <c r="J612" s="1"/>
      <c r="K612" s="1"/>
      <c r="L612" s="1"/>
      <c r="M612" s="1"/>
      <c r="N612" s="1"/>
    </row>
    <row r="613" spans="1:14" hidden="1" x14ac:dyDescent="0.25">
      <c r="A613" s="1"/>
      <c r="B613" s="16" t="s">
        <v>781</v>
      </c>
      <c r="C613" s="15" t="s">
        <v>1235</v>
      </c>
      <c r="D613" s="15" t="s">
        <v>1236</v>
      </c>
      <c r="E613" s="16" t="s">
        <v>18</v>
      </c>
      <c r="F613" s="17"/>
      <c r="G613" cm="1">
        <f t="array" ref="G613">IFERROR(_xlfn.XLOOKUP(Pedido891011121412131617181921192223[[#This Row],[Id de Producto]],[1]!Precios[[#All],[Id de Producto]],[1]!Precios[[#All],[Coste estándar]])*Pedido891011121412131617181921192223[[#This Row],[Pedido]],0)</f>
        <v>0</v>
      </c>
      <c r="H613" s="18">
        <v>0</v>
      </c>
      <c r="I613" s="15" t="s">
        <v>781</v>
      </c>
      <c r="J613" s="1"/>
      <c r="K613" s="1"/>
      <c r="L613" s="1"/>
      <c r="M613" s="1"/>
      <c r="N613" s="1"/>
    </row>
    <row r="614" spans="1:14" hidden="1" x14ac:dyDescent="0.25">
      <c r="A614" s="1"/>
      <c r="B614" s="16" t="s">
        <v>781</v>
      </c>
      <c r="C614" s="15" t="s">
        <v>1237</v>
      </c>
      <c r="D614" s="15" t="s">
        <v>1238</v>
      </c>
      <c r="E614" s="16" t="s">
        <v>26</v>
      </c>
      <c r="F614" s="17"/>
      <c r="G614" cm="1">
        <f t="array" ref="G614">IFERROR(_xlfn.XLOOKUP(Pedido891011121412131617181921192223[[#This Row],[Id de Producto]],[1]!Precios[[#All],[Id de Producto]],[1]!Precios[[#All],[Coste estándar]])*Pedido891011121412131617181921192223[[#This Row],[Pedido]],0)</f>
        <v>0</v>
      </c>
      <c r="H614" s="18">
        <v>0</v>
      </c>
      <c r="I614" s="15" t="s">
        <v>781</v>
      </c>
      <c r="J614" s="1"/>
      <c r="K614" s="1"/>
      <c r="L614" s="1"/>
      <c r="M614" s="1"/>
      <c r="N614" s="1"/>
    </row>
    <row r="615" spans="1:14" hidden="1" x14ac:dyDescent="0.25">
      <c r="A615" s="1"/>
      <c r="B615" s="16" t="s">
        <v>781</v>
      </c>
      <c r="C615" s="15" t="s">
        <v>1239</v>
      </c>
      <c r="D615" s="15" t="s">
        <v>1240</v>
      </c>
      <c r="E615" s="16" t="s">
        <v>22</v>
      </c>
      <c r="F615" s="17"/>
      <c r="G615" cm="1">
        <f t="array" ref="G615">IFERROR(_xlfn.XLOOKUP(Pedido891011121412131617181921192223[[#This Row],[Id de Producto]],[1]!Precios[[#All],[Id de Producto]],[1]!Precios[[#All],[Coste estándar]])*Pedido891011121412131617181921192223[[#This Row],[Pedido]],0)</f>
        <v>0</v>
      </c>
      <c r="H615" s="18">
        <v>0</v>
      </c>
      <c r="I615" s="15" t="s">
        <v>781</v>
      </c>
      <c r="J615" s="1"/>
      <c r="K615" s="1"/>
      <c r="L615" s="1"/>
      <c r="M615" s="1"/>
      <c r="N615" s="1"/>
    </row>
    <row r="616" spans="1:14" hidden="1" x14ac:dyDescent="0.25">
      <c r="A616" s="1"/>
      <c r="B616" s="15" t="s">
        <v>781</v>
      </c>
      <c r="C616" s="15" t="s">
        <v>1241</v>
      </c>
      <c r="D616" s="15" t="s">
        <v>1242</v>
      </c>
      <c r="E616" s="16" t="s">
        <v>26</v>
      </c>
      <c r="F616" s="17"/>
      <c r="G616" cm="1">
        <f t="array" ref="G616">IFERROR(_xlfn.XLOOKUP(Pedido891011121412131617181921192223[[#This Row],[Id de Producto]],[1]!Precios[[#All],[Id de Producto]],[1]!Precios[[#All],[Coste estándar]])*Pedido891011121412131617181921192223[[#This Row],[Pedido]],0)</f>
        <v>0</v>
      </c>
      <c r="H616" s="15">
        <v>0</v>
      </c>
      <c r="I616" s="15" t="s">
        <v>781</v>
      </c>
      <c r="J616" s="1"/>
      <c r="K616" s="1"/>
      <c r="L616" s="1"/>
      <c r="M616" s="1"/>
      <c r="N616" s="1"/>
    </row>
    <row r="617" spans="1:14" hidden="1" x14ac:dyDescent="0.25">
      <c r="A617" s="1"/>
      <c r="B617" s="16" t="s">
        <v>781</v>
      </c>
      <c r="C617" s="15" t="s">
        <v>1243</v>
      </c>
      <c r="D617" s="15" t="s">
        <v>1244</v>
      </c>
      <c r="E617" s="16" t="s">
        <v>26</v>
      </c>
      <c r="F617" s="17"/>
      <c r="G617" cm="1">
        <f t="array" ref="G617">IFERROR(_xlfn.XLOOKUP(Pedido891011121412131617181921192223[[#This Row],[Id de Producto]],[1]!Precios[[#All],[Id de Producto]],[1]!Precios[[#All],[Coste estándar]])*Pedido891011121412131617181921192223[[#This Row],[Pedido]],0)</f>
        <v>0</v>
      </c>
      <c r="H617" s="18">
        <v>0</v>
      </c>
      <c r="I617" s="15" t="s">
        <v>781</v>
      </c>
      <c r="J617" s="1"/>
      <c r="K617" s="1"/>
      <c r="L617" s="1"/>
      <c r="M617" s="1"/>
      <c r="N617" s="1"/>
    </row>
    <row r="618" spans="1:14" hidden="1" x14ac:dyDescent="0.25">
      <c r="A618" s="1"/>
      <c r="B618" s="16" t="s">
        <v>781</v>
      </c>
      <c r="C618" s="15" t="s">
        <v>1245</v>
      </c>
      <c r="D618" s="15" t="s">
        <v>1246</v>
      </c>
      <c r="E618" s="16" t="s">
        <v>22</v>
      </c>
      <c r="F618" s="17"/>
      <c r="G618" cm="1">
        <f t="array" ref="G618">IFERROR(_xlfn.XLOOKUP(Pedido891011121412131617181921192223[[#This Row],[Id de Producto]],[1]!Precios[[#All],[Id de Producto]],[1]!Precios[[#All],[Coste estándar]])*Pedido891011121412131617181921192223[[#This Row],[Pedido]],0)</f>
        <v>0</v>
      </c>
      <c r="H618" s="18">
        <v>0</v>
      </c>
      <c r="I618" s="15" t="s">
        <v>781</v>
      </c>
      <c r="J618" s="1"/>
      <c r="K618" s="1"/>
      <c r="L618" s="1"/>
      <c r="M618" s="1"/>
      <c r="N618" s="1"/>
    </row>
    <row r="619" spans="1:14" hidden="1" x14ac:dyDescent="0.25">
      <c r="A619" s="1"/>
      <c r="B619" s="15" t="s">
        <v>781</v>
      </c>
      <c r="C619" s="15" t="s">
        <v>1247</v>
      </c>
      <c r="D619" s="15" t="s">
        <v>1248</v>
      </c>
      <c r="E619" s="16" t="s">
        <v>26</v>
      </c>
      <c r="F619" s="17"/>
      <c r="G619" cm="1">
        <f t="array" ref="G619">IFERROR(_xlfn.XLOOKUP(Pedido891011121412131617181921192223[[#This Row],[Id de Producto]],[1]!Precios[[#All],[Id de Producto]],[1]!Precios[[#All],[Coste estándar]])*Pedido891011121412131617181921192223[[#This Row],[Pedido]],0)</f>
        <v>0</v>
      </c>
      <c r="H619" s="15">
        <v>0</v>
      </c>
      <c r="I619" s="15" t="s">
        <v>781</v>
      </c>
      <c r="J619" s="1"/>
      <c r="K619" s="1"/>
      <c r="L619" s="1"/>
      <c r="M619" s="1"/>
      <c r="N619" s="1"/>
    </row>
    <row r="620" spans="1:14" hidden="1" x14ac:dyDescent="0.25">
      <c r="A620" s="1"/>
      <c r="B620" s="16" t="s">
        <v>781</v>
      </c>
      <c r="C620" s="15" t="s">
        <v>1249</v>
      </c>
      <c r="D620" s="15" t="s">
        <v>1250</v>
      </c>
      <c r="E620" s="16" t="s">
        <v>26</v>
      </c>
      <c r="F620" s="17"/>
      <c r="G620" cm="1">
        <f t="array" ref="G620">IFERROR(_xlfn.XLOOKUP(Pedido891011121412131617181921192223[[#This Row],[Id de Producto]],[1]!Precios[[#All],[Id de Producto]],[1]!Precios[[#All],[Coste estándar]])*Pedido891011121412131617181921192223[[#This Row],[Pedido]],0)</f>
        <v>0</v>
      </c>
      <c r="H620" s="18">
        <v>0</v>
      </c>
      <c r="I620" s="15" t="s">
        <v>781</v>
      </c>
      <c r="J620" s="1"/>
      <c r="K620" s="1"/>
      <c r="L620" s="1"/>
      <c r="M620" s="1"/>
      <c r="N620" s="1"/>
    </row>
    <row r="621" spans="1:14" hidden="1" x14ac:dyDescent="0.25">
      <c r="A621" s="1"/>
      <c r="B621" s="16" t="s">
        <v>781</v>
      </c>
      <c r="C621" s="15" t="s">
        <v>1251</v>
      </c>
      <c r="D621" s="15" t="s">
        <v>1252</v>
      </c>
      <c r="E621" s="16" t="s">
        <v>26</v>
      </c>
      <c r="F621" s="17"/>
      <c r="G621" cm="1">
        <f t="array" ref="G621">IFERROR(_xlfn.XLOOKUP(Pedido891011121412131617181921192223[[#This Row],[Id de Producto]],[1]!Precios[[#All],[Id de Producto]],[1]!Precios[[#All],[Coste estándar]])*Pedido891011121412131617181921192223[[#This Row],[Pedido]],0)</f>
        <v>0</v>
      </c>
      <c r="H621" s="18">
        <v>0</v>
      </c>
      <c r="I621" s="15" t="s">
        <v>781</v>
      </c>
      <c r="J621" s="1"/>
      <c r="K621" s="1"/>
      <c r="L621" s="1"/>
      <c r="M621" s="1"/>
      <c r="N621" s="1"/>
    </row>
    <row r="622" spans="1:14" hidden="1" x14ac:dyDescent="0.25">
      <c r="A622" s="1"/>
      <c r="B622" s="16" t="s">
        <v>781</v>
      </c>
      <c r="C622" s="15" t="s">
        <v>1253</v>
      </c>
      <c r="D622" s="15" t="s">
        <v>1254</v>
      </c>
      <c r="E622" s="16" t="s">
        <v>26</v>
      </c>
      <c r="F622" s="17"/>
      <c r="G622" cm="1">
        <f t="array" ref="G622">IFERROR(_xlfn.XLOOKUP(Pedido891011121412131617181921192223[[#This Row],[Id de Producto]],[1]!Precios[[#All],[Id de Producto]],[1]!Precios[[#All],[Coste estándar]])*Pedido891011121412131617181921192223[[#This Row],[Pedido]],0)</f>
        <v>0</v>
      </c>
      <c r="H622" s="18">
        <v>0</v>
      </c>
      <c r="I622" s="15" t="s">
        <v>781</v>
      </c>
      <c r="J622" s="1"/>
      <c r="K622" s="1"/>
      <c r="L622" s="1"/>
      <c r="M622" s="1"/>
      <c r="N622" s="1"/>
    </row>
    <row r="623" spans="1:14" hidden="1" x14ac:dyDescent="0.25">
      <c r="A623" s="1"/>
      <c r="B623" s="16" t="s">
        <v>781</v>
      </c>
      <c r="C623" s="15" t="s">
        <v>1255</v>
      </c>
      <c r="D623" s="15" t="s">
        <v>1256</v>
      </c>
      <c r="E623" s="16" t="s">
        <v>26</v>
      </c>
      <c r="F623" s="17"/>
      <c r="G623" cm="1">
        <f t="array" ref="G623">IFERROR(_xlfn.XLOOKUP(Pedido891011121412131617181921192223[[#This Row],[Id de Producto]],[1]!Precios[[#All],[Id de Producto]],[1]!Precios[[#All],[Coste estándar]])*Pedido891011121412131617181921192223[[#This Row],[Pedido]],0)</f>
        <v>0</v>
      </c>
      <c r="H623" s="18">
        <v>0</v>
      </c>
      <c r="I623" s="15" t="s">
        <v>781</v>
      </c>
      <c r="J623" s="1"/>
      <c r="K623" s="1"/>
      <c r="L623" s="1"/>
      <c r="M623" s="1"/>
      <c r="N623" s="1"/>
    </row>
    <row r="624" spans="1:14" hidden="1" x14ac:dyDescent="0.25">
      <c r="A624" s="1"/>
      <c r="B624" s="15" t="s">
        <v>781</v>
      </c>
      <c r="C624" s="15" t="s">
        <v>1257</v>
      </c>
      <c r="D624" s="15" t="s">
        <v>1258</v>
      </c>
      <c r="E624" s="16" t="s">
        <v>26</v>
      </c>
      <c r="F624" s="17"/>
      <c r="G624" cm="1">
        <f t="array" ref="G624">IFERROR(_xlfn.XLOOKUP(Pedido891011121412131617181921192223[[#This Row],[Id de Producto]],[1]!Precios[[#All],[Id de Producto]],[1]!Precios[[#All],[Coste estándar]])*Pedido891011121412131617181921192223[[#This Row],[Pedido]],0)</f>
        <v>0</v>
      </c>
      <c r="H624" s="15">
        <v>0</v>
      </c>
      <c r="I624" s="15" t="s">
        <v>781</v>
      </c>
      <c r="J624" s="1"/>
      <c r="K624" s="1"/>
      <c r="L624" s="1"/>
      <c r="M624" s="1"/>
      <c r="N624" s="1"/>
    </row>
    <row r="625" spans="1:14" hidden="1" x14ac:dyDescent="0.25">
      <c r="A625" s="1"/>
      <c r="B625" s="15" t="s">
        <v>781</v>
      </c>
      <c r="C625" s="15" t="s">
        <v>1259</v>
      </c>
      <c r="D625" s="15" t="s">
        <v>1260</v>
      </c>
      <c r="E625" s="16" t="s">
        <v>22</v>
      </c>
      <c r="F625" s="17"/>
      <c r="G625" cm="1">
        <f t="array" ref="G625">IFERROR(_xlfn.XLOOKUP(Pedido891011121412131617181921192223[[#This Row],[Id de Producto]],[1]!Precios[[#All],[Id de Producto]],[1]!Precios[[#All],[Coste estándar]])*Pedido891011121412131617181921192223[[#This Row],[Pedido]],0)</f>
        <v>0</v>
      </c>
      <c r="H625" s="15">
        <v>0</v>
      </c>
      <c r="I625" s="15" t="s">
        <v>781</v>
      </c>
      <c r="J625" s="1"/>
      <c r="K625" s="1"/>
      <c r="L625" s="1"/>
      <c r="M625" s="1"/>
      <c r="N625" s="1"/>
    </row>
    <row r="626" spans="1:14" hidden="1" x14ac:dyDescent="0.25">
      <c r="A626" s="1"/>
      <c r="B626" s="16" t="s">
        <v>781</v>
      </c>
      <c r="C626" s="15" t="s">
        <v>1261</v>
      </c>
      <c r="D626" s="15" t="s">
        <v>1262</v>
      </c>
      <c r="E626" s="16" t="s">
        <v>18</v>
      </c>
      <c r="F626" s="17"/>
      <c r="G626" cm="1">
        <f t="array" ref="G626">IFERROR(_xlfn.XLOOKUP(Pedido891011121412131617181921192223[[#This Row],[Id de Producto]],[1]!Precios[[#All],[Id de Producto]],[1]!Precios[[#All],[Coste estándar]])*Pedido891011121412131617181921192223[[#This Row],[Pedido]],0)</f>
        <v>0</v>
      </c>
      <c r="H626" s="18">
        <v>0</v>
      </c>
      <c r="I626" s="15" t="s">
        <v>781</v>
      </c>
      <c r="J626" s="1"/>
      <c r="K626" s="1"/>
      <c r="L626" s="1"/>
      <c r="M626" s="1"/>
      <c r="N626" s="1"/>
    </row>
    <row r="627" spans="1:14" hidden="1" x14ac:dyDescent="0.25">
      <c r="A627" s="1"/>
      <c r="B627" s="15" t="s">
        <v>781</v>
      </c>
      <c r="C627" s="15" t="s">
        <v>1263</v>
      </c>
      <c r="D627" s="15" t="s">
        <v>1264</v>
      </c>
      <c r="E627" s="16" t="s">
        <v>26</v>
      </c>
      <c r="F627" s="17"/>
      <c r="G627" cm="1">
        <f t="array" ref="G627">IFERROR(_xlfn.XLOOKUP(Pedido891011121412131617181921192223[[#This Row],[Id de Producto]],[1]!Precios[[#All],[Id de Producto]],[1]!Precios[[#All],[Coste estándar]])*Pedido891011121412131617181921192223[[#This Row],[Pedido]],0)</f>
        <v>0</v>
      </c>
      <c r="H627" s="15">
        <v>0</v>
      </c>
      <c r="I627" s="15" t="s">
        <v>781</v>
      </c>
      <c r="J627" s="1"/>
      <c r="K627" s="1"/>
      <c r="L627" s="1"/>
      <c r="M627" s="1"/>
      <c r="N627" s="1"/>
    </row>
    <row r="628" spans="1:14" hidden="1" x14ac:dyDescent="0.25">
      <c r="A628" s="1"/>
      <c r="B628" s="16" t="s">
        <v>781</v>
      </c>
      <c r="C628" s="15" t="s">
        <v>1265</v>
      </c>
      <c r="D628" s="15" t="s">
        <v>1266</v>
      </c>
      <c r="E628" s="16" t="s">
        <v>22</v>
      </c>
      <c r="F628" s="17"/>
      <c r="G628" cm="1">
        <f t="array" ref="G628">IFERROR(_xlfn.XLOOKUP(Pedido891011121412131617181921192223[[#This Row],[Id de Producto]],[1]!Precios[[#All],[Id de Producto]],[1]!Precios[[#All],[Coste estándar]])*Pedido891011121412131617181921192223[[#This Row],[Pedido]],0)</f>
        <v>0</v>
      </c>
      <c r="H628" s="18">
        <v>0</v>
      </c>
      <c r="I628" s="15" t="s">
        <v>781</v>
      </c>
      <c r="J628" s="1"/>
      <c r="K628" s="1"/>
      <c r="L628" s="1"/>
      <c r="M628" s="1"/>
      <c r="N628" s="1"/>
    </row>
    <row r="629" spans="1:14" hidden="1" x14ac:dyDescent="0.25">
      <c r="A629" s="1"/>
      <c r="B629" s="15" t="s">
        <v>781</v>
      </c>
      <c r="C629" s="15" t="s">
        <v>1267</v>
      </c>
      <c r="D629" s="15" t="s">
        <v>1268</v>
      </c>
      <c r="E629" s="16" t="s">
        <v>26</v>
      </c>
      <c r="F629" s="17"/>
      <c r="G629" cm="1">
        <f t="array" ref="G629">IFERROR(_xlfn.XLOOKUP(Pedido891011121412131617181921192223[[#This Row],[Id de Producto]],[1]!Precios[[#All],[Id de Producto]],[1]!Precios[[#All],[Coste estándar]])*Pedido891011121412131617181921192223[[#This Row],[Pedido]],0)</f>
        <v>0</v>
      </c>
      <c r="H629" s="15">
        <v>0</v>
      </c>
      <c r="I629" s="15" t="s">
        <v>781</v>
      </c>
      <c r="J629" s="1"/>
      <c r="K629" s="1"/>
      <c r="L629" s="1"/>
      <c r="M629" s="1"/>
      <c r="N629" s="1"/>
    </row>
    <row r="630" spans="1:14" hidden="1" x14ac:dyDescent="0.25">
      <c r="A630" s="1"/>
      <c r="B630" s="15" t="s">
        <v>781</v>
      </c>
      <c r="C630" s="15" t="s">
        <v>1269</v>
      </c>
      <c r="D630" s="15" t="s">
        <v>1270</v>
      </c>
      <c r="E630" s="16" t="s">
        <v>22</v>
      </c>
      <c r="F630" s="17"/>
      <c r="G630" cm="1">
        <f t="array" ref="G630">IFERROR(_xlfn.XLOOKUP(Pedido891011121412131617181921192223[[#This Row],[Id de Producto]],[1]!Precios[[#All],[Id de Producto]],[1]!Precios[[#All],[Coste estándar]])*Pedido891011121412131617181921192223[[#This Row],[Pedido]],0)</f>
        <v>0</v>
      </c>
      <c r="H630" s="18">
        <v>0</v>
      </c>
      <c r="I630" s="15" t="s">
        <v>781</v>
      </c>
      <c r="J630" s="1"/>
      <c r="K630" s="1"/>
      <c r="L630" s="1"/>
      <c r="M630" s="1"/>
      <c r="N630" s="1"/>
    </row>
    <row r="631" spans="1:14" hidden="1" x14ac:dyDescent="0.25">
      <c r="A631" s="1"/>
      <c r="B631" s="15" t="s">
        <v>781</v>
      </c>
      <c r="C631" s="15" t="s">
        <v>1271</v>
      </c>
      <c r="D631" s="15" t="s">
        <v>1272</v>
      </c>
      <c r="E631" s="16" t="s">
        <v>26</v>
      </c>
      <c r="F631" s="17"/>
      <c r="G631" cm="1">
        <f t="array" ref="G631">IFERROR(_xlfn.XLOOKUP(Pedido891011121412131617181921192223[[#This Row],[Id de Producto]],[1]!Precios[[#All],[Id de Producto]],[1]!Precios[[#All],[Coste estándar]])*Pedido891011121412131617181921192223[[#This Row],[Pedido]],0)</f>
        <v>0</v>
      </c>
      <c r="H631" s="15">
        <v>0</v>
      </c>
      <c r="I631" s="15" t="s">
        <v>781</v>
      </c>
      <c r="J631" s="1"/>
      <c r="K631" s="1"/>
      <c r="L631" s="1"/>
      <c r="M631" s="1"/>
      <c r="N631" s="1"/>
    </row>
    <row r="632" spans="1:14" hidden="1" x14ac:dyDescent="0.25">
      <c r="A632" s="1"/>
      <c r="B632" s="15" t="s">
        <v>781</v>
      </c>
      <c r="C632" s="15" t="s">
        <v>1273</v>
      </c>
      <c r="D632" s="15" t="s">
        <v>1274</v>
      </c>
      <c r="E632" s="16" t="s">
        <v>18</v>
      </c>
      <c r="F632" s="17"/>
      <c r="G632" cm="1">
        <f t="array" ref="G632">IFERROR(_xlfn.XLOOKUP(Pedido891011121412131617181921192223[[#This Row],[Id de Producto]],[1]!Precios[[#All],[Id de Producto]],[1]!Precios[[#All],[Coste estándar]])*Pedido891011121412131617181921192223[[#This Row],[Pedido]],0)</f>
        <v>0</v>
      </c>
      <c r="H632" s="18">
        <v>0</v>
      </c>
      <c r="I632" s="15" t="s">
        <v>781</v>
      </c>
      <c r="J632" s="1"/>
      <c r="K632" s="1"/>
      <c r="L632" s="1"/>
      <c r="M632" s="1"/>
      <c r="N632" s="1"/>
    </row>
    <row r="633" spans="1:14" hidden="1" x14ac:dyDescent="0.25">
      <c r="A633" s="1"/>
      <c r="B633" s="15" t="s">
        <v>781</v>
      </c>
      <c r="C633" s="15" t="s">
        <v>1275</v>
      </c>
      <c r="D633" s="15" t="s">
        <v>1276</v>
      </c>
      <c r="E633" s="16" t="s">
        <v>26</v>
      </c>
      <c r="F633" s="17"/>
      <c r="G633" cm="1">
        <f t="array" ref="G633">IFERROR(_xlfn.XLOOKUP(Pedido891011121412131617181921192223[[#This Row],[Id de Producto]],[1]!Precios[[#All],[Id de Producto]],[1]!Precios[[#All],[Coste estándar]])*Pedido891011121412131617181921192223[[#This Row],[Pedido]],0)</f>
        <v>0</v>
      </c>
      <c r="H633" s="18">
        <v>0</v>
      </c>
      <c r="I633" s="15" t="s">
        <v>781</v>
      </c>
      <c r="J633" s="1"/>
      <c r="K633" s="1"/>
      <c r="L633" s="1"/>
      <c r="M633" s="1"/>
      <c r="N633" s="1"/>
    </row>
    <row r="634" spans="1:14" hidden="1" x14ac:dyDescent="0.25">
      <c r="A634" s="1"/>
      <c r="B634" s="15" t="s">
        <v>781</v>
      </c>
      <c r="C634" s="15" t="s">
        <v>1277</v>
      </c>
      <c r="D634" s="15" t="s">
        <v>1278</v>
      </c>
      <c r="E634" s="16" t="s">
        <v>18</v>
      </c>
      <c r="F634" s="17"/>
      <c r="G634" cm="1">
        <f t="array" ref="G634">IFERROR(_xlfn.XLOOKUP(Pedido891011121412131617181921192223[[#This Row],[Id de Producto]],[1]!Precios[[#All],[Id de Producto]],[1]!Precios[[#All],[Coste estándar]])*Pedido891011121412131617181921192223[[#This Row],[Pedido]],0)</f>
        <v>0</v>
      </c>
      <c r="H634" s="18">
        <v>0</v>
      </c>
      <c r="I634" s="15" t="s">
        <v>781</v>
      </c>
      <c r="J634" s="1"/>
      <c r="K634" s="1"/>
      <c r="L634" s="1"/>
      <c r="M634" s="1"/>
      <c r="N634" s="1"/>
    </row>
    <row r="635" spans="1:14" hidden="1" x14ac:dyDescent="0.25">
      <c r="A635" s="1"/>
      <c r="B635" s="15" t="s">
        <v>781</v>
      </c>
      <c r="C635" s="15" t="s">
        <v>1279</v>
      </c>
      <c r="D635" s="15" t="s">
        <v>1280</v>
      </c>
      <c r="E635" s="16" t="s">
        <v>26</v>
      </c>
      <c r="F635" s="17"/>
      <c r="G635" cm="1">
        <f t="array" ref="G635">IFERROR(_xlfn.XLOOKUP(Pedido891011121412131617181921192223[[#This Row],[Id de Producto]],[1]!Precios[[#All],[Id de Producto]],[1]!Precios[[#All],[Coste estándar]])*Pedido891011121412131617181921192223[[#This Row],[Pedido]],0)</f>
        <v>0</v>
      </c>
      <c r="H635" s="15">
        <v>0</v>
      </c>
      <c r="I635" s="15" t="s">
        <v>781</v>
      </c>
      <c r="J635" s="1"/>
      <c r="K635" s="1"/>
      <c r="L635" s="1"/>
      <c r="M635" s="1"/>
      <c r="N635" s="1"/>
    </row>
    <row r="636" spans="1:14" hidden="1" x14ac:dyDescent="0.25">
      <c r="A636" s="1"/>
      <c r="B636" s="15" t="s">
        <v>781</v>
      </c>
      <c r="C636" s="15" t="s">
        <v>1281</v>
      </c>
      <c r="D636" s="15" t="s">
        <v>1282</v>
      </c>
      <c r="E636" s="16" t="s">
        <v>22</v>
      </c>
      <c r="F636" s="17"/>
      <c r="G636" cm="1">
        <f t="array" ref="G636">IFERROR(_xlfn.XLOOKUP(Pedido891011121412131617181921192223[[#This Row],[Id de Producto]],[1]!Precios[[#All],[Id de Producto]],[1]!Precios[[#All],[Coste estándar]])*Pedido891011121412131617181921192223[[#This Row],[Pedido]],0)</f>
        <v>0</v>
      </c>
      <c r="H636" s="18">
        <v>0</v>
      </c>
      <c r="I636" s="15" t="s">
        <v>781</v>
      </c>
      <c r="J636" s="1"/>
      <c r="K636" s="1"/>
      <c r="L636" s="1"/>
      <c r="M636" s="1"/>
      <c r="N636" s="1"/>
    </row>
    <row r="637" spans="1:14" hidden="1" x14ac:dyDescent="0.25">
      <c r="A637" s="1"/>
      <c r="B637" s="15" t="s">
        <v>781</v>
      </c>
      <c r="C637" s="15" t="s">
        <v>1283</v>
      </c>
      <c r="D637" s="15" t="s">
        <v>1284</v>
      </c>
      <c r="E637" s="16" t="s">
        <v>26</v>
      </c>
      <c r="F637" s="17"/>
      <c r="G637" cm="1">
        <f t="array" ref="G637">IFERROR(_xlfn.XLOOKUP(Pedido891011121412131617181921192223[[#This Row],[Id de Producto]],[1]!Precios[[#All],[Id de Producto]],[1]!Precios[[#All],[Coste estándar]])*Pedido891011121412131617181921192223[[#This Row],[Pedido]],0)</f>
        <v>0</v>
      </c>
      <c r="H637" s="18">
        <v>0</v>
      </c>
      <c r="I637" s="15" t="s">
        <v>781</v>
      </c>
      <c r="J637" s="1"/>
      <c r="K637" s="1"/>
      <c r="L637" s="1"/>
      <c r="M637" s="1"/>
      <c r="N637" s="1"/>
    </row>
    <row r="638" spans="1:14" hidden="1" x14ac:dyDescent="0.25">
      <c r="A638" s="1"/>
      <c r="B638" s="15" t="s">
        <v>781</v>
      </c>
      <c r="C638" s="15" t="s">
        <v>1285</v>
      </c>
      <c r="D638" s="15" t="s">
        <v>1286</v>
      </c>
      <c r="E638" s="16" t="s">
        <v>26</v>
      </c>
      <c r="F638" s="17"/>
      <c r="G638" cm="1">
        <f t="array" ref="G638">IFERROR(_xlfn.XLOOKUP(Pedido891011121412131617181921192223[[#This Row],[Id de Producto]],[1]!Precios[[#All],[Id de Producto]],[1]!Precios[[#All],[Coste estándar]])*Pedido891011121412131617181921192223[[#This Row],[Pedido]],0)</f>
        <v>0</v>
      </c>
      <c r="H638" s="18">
        <v>0</v>
      </c>
      <c r="I638" s="15" t="s">
        <v>781</v>
      </c>
      <c r="J638" s="1"/>
      <c r="K638" s="1"/>
      <c r="L638" s="1"/>
      <c r="M638" s="1"/>
      <c r="N638" s="1"/>
    </row>
    <row r="639" spans="1:14" hidden="1" x14ac:dyDescent="0.25">
      <c r="A639" s="1"/>
      <c r="B639" s="15" t="s">
        <v>781</v>
      </c>
      <c r="C639" s="15" t="s">
        <v>1287</v>
      </c>
      <c r="D639" s="15" t="s">
        <v>1288</v>
      </c>
      <c r="E639" s="16" t="s">
        <v>26</v>
      </c>
      <c r="F639" s="17"/>
      <c r="G639" cm="1">
        <f t="array" ref="G639">IFERROR(_xlfn.XLOOKUP(Pedido891011121412131617181921192223[[#This Row],[Id de Producto]],[1]!Precios[[#All],[Id de Producto]],[1]!Precios[[#All],[Coste estándar]])*Pedido891011121412131617181921192223[[#This Row],[Pedido]],0)</f>
        <v>0</v>
      </c>
      <c r="H639" s="15">
        <v>0</v>
      </c>
      <c r="I639" s="15" t="s">
        <v>781</v>
      </c>
      <c r="J639" s="1"/>
      <c r="K639" s="1"/>
      <c r="L639" s="1"/>
      <c r="M639" s="1"/>
      <c r="N639" s="1"/>
    </row>
    <row r="640" spans="1:14" hidden="1" x14ac:dyDescent="0.25">
      <c r="A640" s="1"/>
      <c r="B640" s="15" t="s">
        <v>781</v>
      </c>
      <c r="C640" s="15" t="s">
        <v>1289</v>
      </c>
      <c r="D640" s="15" t="s">
        <v>1290</v>
      </c>
      <c r="E640" s="15" t="s">
        <v>26</v>
      </c>
      <c r="F640" s="17"/>
      <c r="G640" cm="1">
        <f t="array" ref="G640">IFERROR(_xlfn.XLOOKUP(Pedido891011121412131617181921192223[[#This Row],[Id de Producto]],[1]!Precios[[#All],[Id de Producto]],[1]!Precios[[#All],[Coste estándar]])*Pedido891011121412131617181921192223[[#This Row],[Pedido]],0)</f>
        <v>0</v>
      </c>
      <c r="H640" s="18">
        <v>0</v>
      </c>
      <c r="I640" s="15" t="s">
        <v>781</v>
      </c>
      <c r="J640" s="1"/>
      <c r="K640" s="1"/>
      <c r="L640" s="1"/>
      <c r="M640" s="1"/>
      <c r="N640" s="1"/>
    </row>
    <row r="641" spans="1:14" hidden="1" x14ac:dyDescent="0.25">
      <c r="A641" s="1"/>
      <c r="B641" s="15" t="s">
        <v>781</v>
      </c>
      <c r="C641" s="15" t="s">
        <v>1291</v>
      </c>
      <c r="D641" s="15" t="s">
        <v>1292</v>
      </c>
      <c r="E641" s="16" t="s">
        <v>26</v>
      </c>
      <c r="F641" s="17"/>
      <c r="G641" cm="1">
        <f t="array" ref="G641">IFERROR(_xlfn.XLOOKUP(Pedido891011121412131617181921192223[[#This Row],[Id de Producto]],[1]!Precios[[#All],[Id de Producto]],[1]!Precios[[#All],[Coste estándar]])*Pedido891011121412131617181921192223[[#This Row],[Pedido]],0)</f>
        <v>0</v>
      </c>
      <c r="H641" s="18">
        <v>0</v>
      </c>
      <c r="I641" s="15" t="s">
        <v>781</v>
      </c>
      <c r="J641" s="1"/>
      <c r="K641" s="1"/>
      <c r="L641" s="1"/>
      <c r="M641" s="1"/>
      <c r="N641" s="1"/>
    </row>
    <row r="642" spans="1:14" hidden="1" x14ac:dyDescent="0.25">
      <c r="A642" s="1"/>
      <c r="B642" s="15" t="s">
        <v>781</v>
      </c>
      <c r="C642" s="15" t="s">
        <v>1293</v>
      </c>
      <c r="D642" s="15" t="s">
        <v>1294</v>
      </c>
      <c r="E642" s="16" t="s">
        <v>26</v>
      </c>
      <c r="F642" s="17"/>
      <c r="G642" cm="1">
        <f t="array" ref="G642">IFERROR(_xlfn.XLOOKUP(Pedido891011121412131617181921192223[[#This Row],[Id de Producto]],[1]!Precios[[#All],[Id de Producto]],[1]!Precios[[#All],[Coste estándar]])*Pedido891011121412131617181921192223[[#This Row],[Pedido]],0)</f>
        <v>0</v>
      </c>
      <c r="H642" s="18">
        <v>0</v>
      </c>
      <c r="I642" s="15" t="s">
        <v>781</v>
      </c>
      <c r="J642" s="1"/>
      <c r="K642" s="1"/>
      <c r="L642" s="1"/>
      <c r="M642" s="1"/>
      <c r="N642" s="1"/>
    </row>
    <row r="643" spans="1:14" hidden="1" x14ac:dyDescent="0.25">
      <c r="A643" s="1"/>
      <c r="B643" s="15" t="s">
        <v>781</v>
      </c>
      <c r="C643" s="15" t="s">
        <v>1295</v>
      </c>
      <c r="D643" s="15" t="s">
        <v>1294</v>
      </c>
      <c r="E643" s="16" t="s">
        <v>26</v>
      </c>
      <c r="F643" s="17"/>
      <c r="G643" cm="1">
        <f t="array" ref="G643">IFERROR(_xlfn.XLOOKUP(Pedido891011121412131617181921192223[[#This Row],[Id de Producto]],[1]!Precios[[#All],[Id de Producto]],[1]!Precios[[#All],[Coste estándar]])*Pedido891011121412131617181921192223[[#This Row],[Pedido]],0)</f>
        <v>0</v>
      </c>
      <c r="H643" s="15">
        <v>0</v>
      </c>
      <c r="I643" s="15" t="s">
        <v>781</v>
      </c>
      <c r="J643" s="1"/>
      <c r="K643" s="1"/>
      <c r="L643" s="1"/>
      <c r="M643" s="1"/>
      <c r="N643" s="1"/>
    </row>
    <row r="644" spans="1:14" hidden="1" x14ac:dyDescent="0.25">
      <c r="A644" s="1"/>
      <c r="B644" s="15" t="s">
        <v>781</v>
      </c>
      <c r="C644" s="15" t="s">
        <v>1296</v>
      </c>
      <c r="D644" s="15" t="s">
        <v>1297</v>
      </c>
      <c r="E644" s="16" t="s">
        <v>26</v>
      </c>
      <c r="F644" s="17"/>
      <c r="G644" cm="1">
        <f t="array" ref="G644">IFERROR(_xlfn.XLOOKUP(Pedido891011121412131617181921192223[[#This Row],[Id de Producto]],[1]!Precios[[#All],[Id de Producto]],[1]!Precios[[#All],[Coste estándar]])*Pedido891011121412131617181921192223[[#This Row],[Pedido]],0)</f>
        <v>0</v>
      </c>
      <c r="H644" s="15">
        <v>0</v>
      </c>
      <c r="I644" s="15" t="s">
        <v>781</v>
      </c>
      <c r="J644" s="1"/>
      <c r="K644" s="1"/>
      <c r="L644" s="1"/>
      <c r="M644" s="1"/>
      <c r="N644" s="1"/>
    </row>
    <row r="645" spans="1:14" hidden="1" x14ac:dyDescent="0.25">
      <c r="A645" s="1"/>
      <c r="B645" s="15" t="s">
        <v>781</v>
      </c>
      <c r="C645" s="15" t="s">
        <v>1298</v>
      </c>
      <c r="D645" s="15" t="s">
        <v>1299</v>
      </c>
      <c r="E645" s="16" t="s">
        <v>26</v>
      </c>
      <c r="F645" s="17"/>
      <c r="G645" cm="1">
        <f t="array" ref="G645">IFERROR(_xlfn.XLOOKUP(Pedido891011121412131617181921192223[[#This Row],[Id de Producto]],[1]!Precios[[#All],[Id de Producto]],[1]!Precios[[#All],[Coste estándar]])*Pedido891011121412131617181921192223[[#This Row],[Pedido]],0)</f>
        <v>0</v>
      </c>
      <c r="H645" s="18">
        <v>0</v>
      </c>
      <c r="I645" s="15" t="s">
        <v>781</v>
      </c>
      <c r="J645" s="1"/>
      <c r="K645" s="1"/>
      <c r="L645" s="1"/>
      <c r="M645" s="1"/>
      <c r="N645" s="1"/>
    </row>
    <row r="646" spans="1:14" hidden="1" x14ac:dyDescent="0.25">
      <c r="A646" s="1"/>
      <c r="B646" s="15" t="s">
        <v>781</v>
      </c>
      <c r="C646" s="15" t="s">
        <v>1300</v>
      </c>
      <c r="D646" s="15" t="s">
        <v>1301</v>
      </c>
      <c r="E646" s="15" t="s">
        <v>26</v>
      </c>
      <c r="F646" s="17"/>
      <c r="G646" cm="1">
        <f t="array" ref="G646">IFERROR(_xlfn.XLOOKUP(Pedido891011121412131617181921192223[[#This Row],[Id de Producto]],[1]!Precios[[#All],[Id de Producto]],[1]!Precios[[#All],[Coste estándar]])*Pedido891011121412131617181921192223[[#This Row],[Pedido]],0)</f>
        <v>0</v>
      </c>
      <c r="H646" s="18">
        <v>0</v>
      </c>
      <c r="I646" s="15" t="s">
        <v>781</v>
      </c>
      <c r="J646" s="1"/>
      <c r="K646" s="1"/>
      <c r="L646" s="1"/>
      <c r="M646" s="1"/>
      <c r="N646" s="1"/>
    </row>
    <row r="647" spans="1:14" hidden="1" x14ac:dyDescent="0.25">
      <c r="A647" s="1"/>
      <c r="B647" s="15" t="s">
        <v>781</v>
      </c>
      <c r="C647" s="15" t="s">
        <v>1302</v>
      </c>
      <c r="D647" s="15" t="s">
        <v>1303</v>
      </c>
      <c r="E647" s="16" t="s">
        <v>26</v>
      </c>
      <c r="F647" s="17"/>
      <c r="G647" cm="1">
        <f t="array" ref="G647">IFERROR(_xlfn.XLOOKUP(Pedido891011121412131617181921192223[[#This Row],[Id de Producto]],[1]!Precios[[#All],[Id de Producto]],[1]!Precios[[#All],[Coste estándar]])*Pedido891011121412131617181921192223[[#This Row],[Pedido]],0)</f>
        <v>0</v>
      </c>
      <c r="H647" s="18">
        <v>0</v>
      </c>
      <c r="I647" s="15" t="s">
        <v>781</v>
      </c>
      <c r="J647" s="1"/>
      <c r="K647" s="1"/>
      <c r="L647" s="1"/>
      <c r="M647" s="1"/>
      <c r="N647" s="1"/>
    </row>
    <row r="648" spans="1:14" hidden="1" x14ac:dyDescent="0.25">
      <c r="A648" s="1"/>
      <c r="B648" s="15" t="s">
        <v>781</v>
      </c>
      <c r="C648" s="15" t="s">
        <v>1304</v>
      </c>
      <c r="D648" s="15" t="s">
        <v>1305</v>
      </c>
      <c r="E648" s="16" t="s">
        <v>22</v>
      </c>
      <c r="F648" s="17"/>
      <c r="G648" cm="1">
        <f t="array" ref="G648">IFERROR(_xlfn.XLOOKUP(Pedido891011121412131617181921192223[[#This Row],[Id de Producto]],[1]!Precios[[#All],[Id de Producto]],[1]!Precios[[#All],[Coste estándar]])*Pedido891011121412131617181921192223[[#This Row],[Pedido]],0)</f>
        <v>0</v>
      </c>
      <c r="H648" s="18">
        <v>0</v>
      </c>
      <c r="I648" s="15" t="s">
        <v>781</v>
      </c>
      <c r="J648" s="1"/>
      <c r="K648" s="1"/>
      <c r="L648" s="1"/>
      <c r="M648" s="1"/>
      <c r="N648" s="1"/>
    </row>
    <row r="649" spans="1:14" hidden="1" x14ac:dyDescent="0.25">
      <c r="A649" s="1"/>
      <c r="B649" s="15" t="s">
        <v>781</v>
      </c>
      <c r="C649" s="15" t="s">
        <v>1306</v>
      </c>
      <c r="D649" s="15" t="s">
        <v>1307</v>
      </c>
      <c r="E649" s="16" t="s">
        <v>22</v>
      </c>
      <c r="F649" s="17"/>
      <c r="G649" cm="1">
        <f t="array" ref="G649">IFERROR(_xlfn.XLOOKUP(Pedido891011121412131617181921192223[[#This Row],[Id de Producto]],[1]!Precios[[#All],[Id de Producto]],[1]!Precios[[#All],[Coste estándar]])*Pedido891011121412131617181921192223[[#This Row],[Pedido]],0)</f>
        <v>0</v>
      </c>
      <c r="H649" s="18">
        <v>0</v>
      </c>
      <c r="I649" s="15" t="s">
        <v>781</v>
      </c>
      <c r="J649" s="1"/>
      <c r="K649" s="1"/>
      <c r="L649" s="1"/>
      <c r="M649" s="1"/>
      <c r="N649" s="1"/>
    </row>
    <row r="650" spans="1:14" hidden="1" x14ac:dyDescent="0.25">
      <c r="A650" s="1"/>
      <c r="B650" s="15" t="s">
        <v>781</v>
      </c>
      <c r="C650" s="15" t="s">
        <v>1308</v>
      </c>
      <c r="D650" s="15" t="s">
        <v>1309</v>
      </c>
      <c r="E650" s="16" t="s">
        <v>26</v>
      </c>
      <c r="F650" s="17"/>
      <c r="G650" cm="1">
        <f t="array" ref="G650">IFERROR(_xlfn.XLOOKUP(Pedido891011121412131617181921192223[[#This Row],[Id de Producto]],[1]!Precios[[#All],[Id de Producto]],[1]!Precios[[#All],[Coste estándar]])*Pedido891011121412131617181921192223[[#This Row],[Pedido]],0)</f>
        <v>0</v>
      </c>
      <c r="H650" s="15">
        <v>0</v>
      </c>
      <c r="I650" s="15" t="s">
        <v>781</v>
      </c>
      <c r="J650" s="1"/>
      <c r="K650" s="1"/>
      <c r="L650" s="1"/>
      <c r="M650" s="1"/>
      <c r="N650" s="1"/>
    </row>
    <row r="651" spans="1:14" hidden="1" x14ac:dyDescent="0.25">
      <c r="A651" s="1"/>
      <c r="B651" s="15" t="s">
        <v>781</v>
      </c>
      <c r="C651" s="15" t="s">
        <v>1310</v>
      </c>
      <c r="D651" s="15" t="s">
        <v>1311</v>
      </c>
      <c r="E651" s="16" t="s">
        <v>26</v>
      </c>
      <c r="F651" s="17"/>
      <c r="G651" cm="1">
        <f t="array" ref="G651">IFERROR(_xlfn.XLOOKUP(Pedido891011121412131617181921192223[[#This Row],[Id de Producto]],[1]!Precios[[#All],[Id de Producto]],[1]!Precios[[#All],[Coste estándar]])*Pedido891011121412131617181921192223[[#This Row],[Pedido]],0)</f>
        <v>0</v>
      </c>
      <c r="H651" s="18">
        <v>0</v>
      </c>
      <c r="I651" s="15" t="s">
        <v>781</v>
      </c>
      <c r="J651" s="1"/>
      <c r="K651" s="1"/>
      <c r="L651" s="1"/>
      <c r="M651" s="1"/>
      <c r="N651" s="1"/>
    </row>
    <row r="652" spans="1:14" hidden="1" x14ac:dyDescent="0.25">
      <c r="A652" s="1"/>
      <c r="B652" s="15" t="s">
        <v>781</v>
      </c>
      <c r="C652" s="15" t="s">
        <v>1312</v>
      </c>
      <c r="D652" s="15" t="s">
        <v>1313</v>
      </c>
      <c r="E652" s="16" t="s">
        <v>26</v>
      </c>
      <c r="F652" s="17"/>
      <c r="G652" cm="1">
        <f t="array" ref="G652">IFERROR(_xlfn.XLOOKUP(Pedido891011121412131617181921192223[[#This Row],[Id de Producto]],[1]!Precios[[#All],[Id de Producto]],[1]!Precios[[#All],[Coste estándar]])*Pedido891011121412131617181921192223[[#This Row],[Pedido]],0)</f>
        <v>0</v>
      </c>
      <c r="H652" s="15">
        <v>0</v>
      </c>
      <c r="I652" s="15" t="s">
        <v>781</v>
      </c>
      <c r="J652" s="1"/>
      <c r="K652" s="1"/>
      <c r="L652" s="1"/>
      <c r="M652" s="1"/>
      <c r="N652" s="1"/>
    </row>
    <row r="653" spans="1:14" hidden="1" x14ac:dyDescent="0.25">
      <c r="A653" s="1"/>
      <c r="B653" s="15" t="s">
        <v>781</v>
      </c>
      <c r="C653" s="15" t="s">
        <v>1314</v>
      </c>
      <c r="D653" s="15" t="s">
        <v>1315</v>
      </c>
      <c r="E653" s="16" t="s">
        <v>18</v>
      </c>
      <c r="F653" s="17"/>
      <c r="G653" cm="1">
        <f t="array" ref="G653">IFERROR(_xlfn.XLOOKUP(Pedido891011121412131617181921192223[[#This Row],[Id de Producto]],[1]!Precios[[#All],[Id de Producto]],[1]!Precios[[#All],[Coste estándar]])*Pedido891011121412131617181921192223[[#This Row],[Pedido]],0)</f>
        <v>0</v>
      </c>
      <c r="H653" s="18">
        <v>0</v>
      </c>
      <c r="I653" s="15" t="s">
        <v>781</v>
      </c>
      <c r="J653" s="1"/>
      <c r="K653" s="1"/>
      <c r="L653" s="1"/>
      <c r="M653" s="1"/>
      <c r="N653" s="1"/>
    </row>
    <row r="654" spans="1:14" hidden="1" x14ac:dyDescent="0.25">
      <c r="A654" s="1"/>
      <c r="B654" s="15" t="s">
        <v>781</v>
      </c>
      <c r="C654" s="15" t="s">
        <v>1316</v>
      </c>
      <c r="D654" s="15" t="s">
        <v>1317</v>
      </c>
      <c r="E654" s="16" t="s">
        <v>26</v>
      </c>
      <c r="F654" s="17"/>
      <c r="G654" cm="1">
        <f t="array" ref="G654">IFERROR(_xlfn.XLOOKUP(Pedido891011121412131617181921192223[[#This Row],[Id de Producto]],[1]!Precios[[#All],[Id de Producto]],[1]!Precios[[#All],[Coste estándar]])*Pedido891011121412131617181921192223[[#This Row],[Pedido]],0)</f>
        <v>0</v>
      </c>
      <c r="H654" s="18">
        <v>0</v>
      </c>
      <c r="I654" s="15" t="s">
        <v>781</v>
      </c>
      <c r="J654" s="1"/>
      <c r="K654" s="1"/>
      <c r="L654" s="1"/>
      <c r="M654" s="1"/>
      <c r="N654" s="1"/>
    </row>
    <row r="655" spans="1:14" hidden="1" x14ac:dyDescent="0.25">
      <c r="A655" s="1"/>
      <c r="B655" s="15" t="s">
        <v>781</v>
      </c>
      <c r="C655" s="15" t="s">
        <v>1318</v>
      </c>
      <c r="D655" s="15" t="s">
        <v>1319</v>
      </c>
      <c r="E655" s="16" t="s">
        <v>26</v>
      </c>
      <c r="F655" s="17"/>
      <c r="G655" cm="1">
        <f t="array" ref="G655">IFERROR(_xlfn.XLOOKUP(Pedido891011121412131617181921192223[[#This Row],[Id de Producto]],[1]!Precios[[#All],[Id de Producto]],[1]!Precios[[#All],[Coste estándar]])*Pedido891011121412131617181921192223[[#This Row],[Pedido]],0)</f>
        <v>0</v>
      </c>
      <c r="H655" s="18">
        <v>0</v>
      </c>
      <c r="I655" s="15" t="s">
        <v>781</v>
      </c>
      <c r="J655" s="1"/>
      <c r="K655" s="1"/>
      <c r="L655" s="1"/>
      <c r="M655" s="1"/>
      <c r="N655" s="1"/>
    </row>
    <row r="656" spans="1:14" hidden="1" x14ac:dyDescent="0.25">
      <c r="A656" s="1"/>
      <c r="B656" s="15" t="s">
        <v>781</v>
      </c>
      <c r="C656" s="15" t="s">
        <v>1320</v>
      </c>
      <c r="D656" s="15" t="s">
        <v>1321</v>
      </c>
      <c r="E656" s="16" t="s">
        <v>26</v>
      </c>
      <c r="F656" s="17"/>
      <c r="G656" cm="1">
        <f t="array" ref="G656">IFERROR(_xlfn.XLOOKUP(Pedido891011121412131617181921192223[[#This Row],[Id de Producto]],[1]!Precios[[#All],[Id de Producto]],[1]!Precios[[#All],[Coste estándar]])*Pedido891011121412131617181921192223[[#This Row],[Pedido]],0)</f>
        <v>0</v>
      </c>
      <c r="H656" s="15">
        <v>0</v>
      </c>
      <c r="I656" s="15" t="s">
        <v>781</v>
      </c>
      <c r="J656" s="1"/>
      <c r="K656" s="1"/>
      <c r="L656" s="1"/>
      <c r="M656" s="1"/>
      <c r="N656" s="1"/>
    </row>
    <row r="657" spans="1:14" hidden="1" x14ac:dyDescent="0.25">
      <c r="A657" s="1"/>
      <c r="B657" s="15" t="s">
        <v>781</v>
      </c>
      <c r="C657" s="15" t="s">
        <v>1322</v>
      </c>
      <c r="D657" s="15" t="s">
        <v>1323</v>
      </c>
      <c r="E657" s="16" t="s">
        <v>26</v>
      </c>
      <c r="F657" s="17"/>
      <c r="G657" cm="1">
        <f t="array" ref="G657">IFERROR(_xlfn.XLOOKUP(Pedido891011121412131617181921192223[[#This Row],[Id de Producto]],[1]!Precios[[#All],[Id de Producto]],[1]!Precios[[#All],[Coste estándar]])*Pedido891011121412131617181921192223[[#This Row],[Pedido]],0)</f>
        <v>0</v>
      </c>
      <c r="H657" s="18">
        <v>0</v>
      </c>
      <c r="I657" s="15" t="s">
        <v>781</v>
      </c>
      <c r="J657" s="1"/>
      <c r="K657" s="1"/>
      <c r="L657" s="1"/>
      <c r="M657" s="1"/>
      <c r="N657" s="1"/>
    </row>
    <row r="658" spans="1:14" hidden="1" x14ac:dyDescent="0.25">
      <c r="A658" s="1"/>
      <c r="B658" s="15" t="s">
        <v>781</v>
      </c>
      <c r="C658" s="15" t="s">
        <v>1324</v>
      </c>
      <c r="D658" s="15" t="s">
        <v>1325</v>
      </c>
      <c r="E658" s="16" t="s">
        <v>26</v>
      </c>
      <c r="F658" s="17"/>
      <c r="G658" cm="1">
        <f t="array" ref="G658">IFERROR(_xlfn.XLOOKUP(Pedido891011121412131617181921192223[[#This Row],[Id de Producto]],[1]!Precios[[#All],[Id de Producto]],[1]!Precios[[#All],[Coste estándar]])*Pedido891011121412131617181921192223[[#This Row],[Pedido]],0)</f>
        <v>0</v>
      </c>
      <c r="H658" s="15">
        <v>0</v>
      </c>
      <c r="I658" s="15" t="s">
        <v>781</v>
      </c>
      <c r="J658" s="1"/>
      <c r="K658" s="1"/>
      <c r="L658" s="1"/>
      <c r="M658" s="1"/>
      <c r="N658" s="1"/>
    </row>
    <row r="659" spans="1:14" hidden="1" x14ac:dyDescent="0.25">
      <c r="A659" s="1"/>
      <c r="B659" s="15" t="s">
        <v>781</v>
      </c>
      <c r="C659" s="15" t="s">
        <v>1326</v>
      </c>
      <c r="D659" s="15" t="s">
        <v>1327</v>
      </c>
      <c r="E659" s="16" t="s">
        <v>26</v>
      </c>
      <c r="F659" s="17"/>
      <c r="G659" cm="1">
        <f t="array" ref="G659">IFERROR(_xlfn.XLOOKUP(Pedido891011121412131617181921192223[[#This Row],[Id de Producto]],[1]!Precios[[#All],[Id de Producto]],[1]!Precios[[#All],[Coste estándar]])*Pedido891011121412131617181921192223[[#This Row],[Pedido]],0)</f>
        <v>0</v>
      </c>
      <c r="H659" s="15">
        <v>0</v>
      </c>
      <c r="I659" s="15" t="s">
        <v>781</v>
      </c>
      <c r="J659" s="1"/>
      <c r="K659" s="1"/>
      <c r="L659" s="1"/>
      <c r="M659" s="1"/>
      <c r="N659" s="1"/>
    </row>
    <row r="660" spans="1:14" hidden="1" x14ac:dyDescent="0.25">
      <c r="A660" s="1"/>
      <c r="B660" s="15" t="s">
        <v>781</v>
      </c>
      <c r="C660" s="15" t="s">
        <v>1328</v>
      </c>
      <c r="D660" s="15" t="s">
        <v>1329</v>
      </c>
      <c r="E660" s="16" t="s">
        <v>22</v>
      </c>
      <c r="F660" s="17"/>
      <c r="G660" cm="1">
        <f t="array" ref="G660">IFERROR(_xlfn.XLOOKUP(Pedido891011121412131617181921192223[[#This Row],[Id de Producto]],[1]!Precios[[#All],[Id de Producto]],[1]!Precios[[#All],[Coste estándar]])*Pedido891011121412131617181921192223[[#This Row],[Pedido]],0)</f>
        <v>0</v>
      </c>
      <c r="H660" s="18">
        <v>0</v>
      </c>
      <c r="I660" s="15" t="s">
        <v>781</v>
      </c>
      <c r="J660" s="1"/>
      <c r="K660" s="1"/>
      <c r="L660" s="1"/>
      <c r="M660" s="1"/>
      <c r="N660" s="1"/>
    </row>
    <row r="661" spans="1:14" hidden="1" x14ac:dyDescent="0.25">
      <c r="A661" s="1"/>
      <c r="B661" s="16" t="s">
        <v>781</v>
      </c>
      <c r="C661" s="15" t="s">
        <v>1330</v>
      </c>
      <c r="D661" s="15" t="s">
        <v>1331</v>
      </c>
      <c r="E661" s="16" t="s">
        <v>26</v>
      </c>
      <c r="F661" s="17"/>
      <c r="G661" cm="1">
        <f t="array" ref="G661">IFERROR(_xlfn.XLOOKUP(Pedido891011121412131617181921192223[[#This Row],[Id de Producto]],[1]!Precios[[#All],[Id de Producto]],[1]!Precios[[#All],[Coste estándar]])*Pedido891011121412131617181921192223[[#This Row],[Pedido]],0)</f>
        <v>0</v>
      </c>
      <c r="H661" s="18">
        <v>0</v>
      </c>
      <c r="I661" s="15" t="s">
        <v>781</v>
      </c>
      <c r="J661" s="1"/>
      <c r="K661" s="1"/>
      <c r="L661" s="1"/>
      <c r="M661" s="1"/>
      <c r="N661" s="1"/>
    </row>
    <row r="662" spans="1:14" hidden="1" x14ac:dyDescent="0.25">
      <c r="A662" s="1"/>
      <c r="B662" s="16" t="s">
        <v>781</v>
      </c>
      <c r="C662" s="15" t="s">
        <v>1332</v>
      </c>
      <c r="D662" s="15" t="s">
        <v>1333</v>
      </c>
      <c r="E662" s="16" t="s">
        <v>26</v>
      </c>
      <c r="F662" s="17"/>
      <c r="G662" cm="1">
        <f t="array" ref="G662">IFERROR(_xlfn.XLOOKUP(Pedido891011121412131617181921192223[[#This Row],[Id de Producto]],[1]!Precios[[#All],[Id de Producto]],[1]!Precios[[#All],[Coste estándar]])*Pedido891011121412131617181921192223[[#This Row],[Pedido]],0)</f>
        <v>0</v>
      </c>
      <c r="H662" s="18">
        <v>0</v>
      </c>
      <c r="I662" s="15" t="s">
        <v>781</v>
      </c>
      <c r="J662" s="1"/>
      <c r="K662" s="1"/>
      <c r="L662" s="1"/>
      <c r="M662" s="1"/>
      <c r="N662" s="1"/>
    </row>
    <row r="663" spans="1:14" hidden="1" x14ac:dyDescent="0.25">
      <c r="A663" s="1"/>
      <c r="B663" s="15" t="s">
        <v>781</v>
      </c>
      <c r="C663" s="15" t="s">
        <v>1334</v>
      </c>
      <c r="D663" s="15" t="s">
        <v>1335</v>
      </c>
      <c r="E663" s="16" t="s">
        <v>26</v>
      </c>
      <c r="F663" s="17"/>
      <c r="G663" cm="1">
        <f t="array" ref="G663">IFERROR(_xlfn.XLOOKUP(Pedido891011121412131617181921192223[[#This Row],[Id de Producto]],[1]!Precios[[#All],[Id de Producto]],[1]!Precios[[#All],[Coste estándar]])*Pedido891011121412131617181921192223[[#This Row],[Pedido]],0)</f>
        <v>0</v>
      </c>
      <c r="H663" s="18">
        <v>0</v>
      </c>
      <c r="I663" s="15" t="s">
        <v>781</v>
      </c>
      <c r="J663" s="1"/>
      <c r="K663" s="1"/>
      <c r="L663" s="1"/>
      <c r="M663" s="1"/>
      <c r="N663" s="1"/>
    </row>
    <row r="664" spans="1:14" hidden="1" x14ac:dyDescent="0.25">
      <c r="A664" s="1"/>
      <c r="B664" s="16" t="s">
        <v>781</v>
      </c>
      <c r="C664" s="15" t="s">
        <v>1336</v>
      </c>
      <c r="D664" s="15" t="s">
        <v>1337</v>
      </c>
      <c r="E664" s="16" t="s">
        <v>26</v>
      </c>
      <c r="F664" s="17"/>
      <c r="G664" cm="1">
        <f t="array" ref="G664">IFERROR(_xlfn.XLOOKUP(Pedido891011121412131617181921192223[[#This Row],[Id de Producto]],[1]!Precios[[#All],[Id de Producto]],[1]!Precios[[#All],[Coste estándar]])*Pedido891011121412131617181921192223[[#This Row],[Pedido]],0)</f>
        <v>0</v>
      </c>
      <c r="H664" s="18">
        <v>0</v>
      </c>
      <c r="I664" s="15" t="s">
        <v>781</v>
      </c>
      <c r="J664" s="1"/>
      <c r="K664" s="1"/>
      <c r="L664" s="1"/>
      <c r="M664" s="1"/>
      <c r="N664" s="1"/>
    </row>
    <row r="665" spans="1:14" hidden="1" x14ac:dyDescent="0.25">
      <c r="A665" s="1"/>
      <c r="B665" s="15" t="s">
        <v>781</v>
      </c>
      <c r="C665" s="15" t="s">
        <v>1338</v>
      </c>
      <c r="D665" s="15" t="s">
        <v>1339</v>
      </c>
      <c r="E665" s="16" t="s">
        <v>18</v>
      </c>
      <c r="F665" s="17"/>
      <c r="G665" cm="1">
        <f t="array" ref="G665">IFERROR(_xlfn.XLOOKUP(Pedido891011121412131617181921192223[[#This Row],[Id de Producto]],[1]!Precios[[#All],[Id de Producto]],[1]!Precios[[#All],[Coste estándar]])*Pedido891011121412131617181921192223[[#This Row],[Pedido]],0)</f>
        <v>0</v>
      </c>
      <c r="H665" s="18">
        <v>0</v>
      </c>
      <c r="I665" s="15" t="s">
        <v>781</v>
      </c>
      <c r="J665" s="1"/>
      <c r="K665" s="1"/>
      <c r="L665" s="1"/>
      <c r="M665" s="1"/>
      <c r="N665" s="1"/>
    </row>
    <row r="666" spans="1:14" hidden="1" x14ac:dyDescent="0.25">
      <c r="A666" s="1"/>
      <c r="B666" s="16" t="s">
        <v>781</v>
      </c>
      <c r="C666" s="15" t="s">
        <v>1340</v>
      </c>
      <c r="D666" s="15" t="s">
        <v>1341</v>
      </c>
      <c r="E666" s="16" t="s">
        <v>18</v>
      </c>
      <c r="F666" s="17"/>
      <c r="G666" cm="1">
        <f t="array" ref="G666">IFERROR(_xlfn.XLOOKUP(Pedido891011121412131617181921192223[[#This Row],[Id de Producto]],[1]!Precios[[#All],[Id de Producto]],[1]!Precios[[#All],[Coste estándar]])*Pedido891011121412131617181921192223[[#This Row],[Pedido]],0)</f>
        <v>0</v>
      </c>
      <c r="H666" s="18">
        <v>0</v>
      </c>
      <c r="I666" s="15" t="s">
        <v>781</v>
      </c>
      <c r="J666" s="1"/>
      <c r="K666" s="1"/>
      <c r="L666" s="1"/>
      <c r="M666" s="1"/>
      <c r="N666" s="1"/>
    </row>
    <row r="667" spans="1:14" hidden="1" x14ac:dyDescent="0.25">
      <c r="A667" s="1"/>
      <c r="B667" s="15" t="s">
        <v>781</v>
      </c>
      <c r="C667" s="15" t="s">
        <v>1342</v>
      </c>
      <c r="D667" s="15" t="s">
        <v>1343</v>
      </c>
      <c r="E667" s="16" t="s">
        <v>26</v>
      </c>
      <c r="F667" s="17"/>
      <c r="G667" cm="1">
        <f t="array" ref="G667">IFERROR(_xlfn.XLOOKUP(Pedido891011121412131617181921192223[[#This Row],[Id de Producto]],[1]!Precios[[#All],[Id de Producto]],[1]!Precios[[#All],[Coste estándar]])*Pedido891011121412131617181921192223[[#This Row],[Pedido]],0)</f>
        <v>0</v>
      </c>
      <c r="H667" s="15">
        <v>0</v>
      </c>
      <c r="I667" s="15" t="s">
        <v>781</v>
      </c>
      <c r="J667" s="1"/>
      <c r="K667" s="1"/>
      <c r="L667" s="1"/>
      <c r="M667" s="1"/>
      <c r="N667" s="1"/>
    </row>
    <row r="668" spans="1:14" hidden="1" x14ac:dyDescent="0.25">
      <c r="A668" s="1"/>
      <c r="B668" s="15" t="s">
        <v>781</v>
      </c>
      <c r="C668" s="15" t="s">
        <v>1344</v>
      </c>
      <c r="D668" s="15" t="s">
        <v>1345</v>
      </c>
      <c r="E668" s="16" t="s">
        <v>26</v>
      </c>
      <c r="F668" s="17"/>
      <c r="G668" cm="1">
        <f t="array" ref="G668">IFERROR(_xlfn.XLOOKUP(Pedido891011121412131617181921192223[[#This Row],[Id de Producto]],[1]!Precios[[#All],[Id de Producto]],[1]!Precios[[#All],[Coste estándar]])*Pedido891011121412131617181921192223[[#This Row],[Pedido]],0)</f>
        <v>0</v>
      </c>
      <c r="H668" s="18">
        <v>0</v>
      </c>
      <c r="I668" s="15" t="s">
        <v>781</v>
      </c>
      <c r="J668" s="1"/>
      <c r="K668" s="1"/>
      <c r="L668" s="1"/>
      <c r="M668" s="1"/>
      <c r="N668" s="1"/>
    </row>
    <row r="669" spans="1:14" hidden="1" x14ac:dyDescent="0.25">
      <c r="A669" s="1"/>
      <c r="B669" s="15" t="s">
        <v>781</v>
      </c>
      <c r="C669" s="15" t="s">
        <v>1346</v>
      </c>
      <c r="D669" s="15" t="s">
        <v>1347</v>
      </c>
      <c r="E669" s="15" t="s">
        <v>26</v>
      </c>
      <c r="F669" s="17"/>
      <c r="G669" cm="1">
        <f t="array" ref="G669">IFERROR(_xlfn.XLOOKUP(Pedido891011121412131617181921192223[[#This Row],[Id de Producto]],[1]!Precios[[#All],[Id de Producto]],[1]!Precios[[#All],[Coste estándar]])*Pedido891011121412131617181921192223[[#This Row],[Pedido]],0)</f>
        <v>0</v>
      </c>
      <c r="H669" s="18">
        <v>0</v>
      </c>
      <c r="I669" s="15" t="s">
        <v>781</v>
      </c>
      <c r="J669" s="1"/>
      <c r="K669" s="1"/>
      <c r="L669" s="1"/>
      <c r="M669" s="1"/>
      <c r="N669" s="1"/>
    </row>
    <row r="670" spans="1:14" hidden="1" x14ac:dyDescent="0.25">
      <c r="A670" s="1"/>
      <c r="B670" s="16" t="s">
        <v>781</v>
      </c>
      <c r="C670" s="15" t="s">
        <v>1348</v>
      </c>
      <c r="D670" s="15" t="s">
        <v>1349</v>
      </c>
      <c r="E670" s="16" t="s">
        <v>22</v>
      </c>
      <c r="F670" s="17"/>
      <c r="G670" cm="1">
        <f t="array" ref="G670">IFERROR(_xlfn.XLOOKUP(Pedido891011121412131617181921192223[[#This Row],[Id de Producto]],[1]!Precios[[#All],[Id de Producto]],[1]!Precios[[#All],[Coste estándar]])*Pedido891011121412131617181921192223[[#This Row],[Pedido]],0)</f>
        <v>0</v>
      </c>
      <c r="H670" s="18">
        <v>0</v>
      </c>
      <c r="I670" s="15" t="s">
        <v>781</v>
      </c>
      <c r="J670" s="1"/>
      <c r="K670" s="1"/>
      <c r="L670" s="1"/>
      <c r="M670" s="1"/>
      <c r="N670" s="1"/>
    </row>
    <row r="671" spans="1:14" hidden="1" x14ac:dyDescent="0.25">
      <c r="A671" s="1"/>
      <c r="B671" s="15" t="s">
        <v>781</v>
      </c>
      <c r="C671" s="15" t="s">
        <v>1350</v>
      </c>
      <c r="D671" s="15" t="s">
        <v>1351</v>
      </c>
      <c r="E671" s="16" t="s">
        <v>22</v>
      </c>
      <c r="F671" s="17"/>
      <c r="G671" cm="1">
        <f t="array" ref="G671">IFERROR(_xlfn.XLOOKUP(Pedido891011121412131617181921192223[[#This Row],[Id de Producto]],[1]!Precios[[#All],[Id de Producto]],[1]!Precios[[#All],[Coste estándar]])*Pedido891011121412131617181921192223[[#This Row],[Pedido]],0)</f>
        <v>0</v>
      </c>
      <c r="H671" s="18">
        <v>0</v>
      </c>
      <c r="I671" s="15" t="s">
        <v>781</v>
      </c>
      <c r="J671" s="1"/>
      <c r="K671" s="1"/>
      <c r="L671" s="1"/>
      <c r="M671" s="1"/>
      <c r="N671" s="1"/>
    </row>
    <row r="672" spans="1:14" hidden="1" x14ac:dyDescent="0.25">
      <c r="A672" s="1"/>
      <c r="B672" s="16" t="s">
        <v>781</v>
      </c>
      <c r="C672" s="15" t="s">
        <v>1352</v>
      </c>
      <c r="D672" s="15" t="s">
        <v>1353</v>
      </c>
      <c r="E672" s="16" t="s">
        <v>26</v>
      </c>
      <c r="F672" s="17"/>
      <c r="G672" cm="1">
        <f t="array" ref="G672">IFERROR(_xlfn.XLOOKUP(Pedido891011121412131617181921192223[[#This Row],[Id de Producto]],[1]!Precios[[#All],[Id de Producto]],[1]!Precios[[#All],[Coste estándar]])*Pedido891011121412131617181921192223[[#This Row],[Pedido]],0)</f>
        <v>0</v>
      </c>
      <c r="H672" s="18">
        <v>0</v>
      </c>
      <c r="I672" s="15" t="s">
        <v>781</v>
      </c>
      <c r="J672" s="1"/>
      <c r="K672" s="1"/>
      <c r="L672" s="1"/>
      <c r="M672" s="1"/>
      <c r="N672" s="1"/>
    </row>
    <row r="673" spans="1:14" hidden="1" x14ac:dyDescent="0.25">
      <c r="A673" s="1"/>
      <c r="B673" s="16" t="s">
        <v>781</v>
      </c>
      <c r="C673" s="15" t="s">
        <v>1354</v>
      </c>
      <c r="D673" s="15" t="s">
        <v>1355</v>
      </c>
      <c r="E673" s="16" t="s">
        <v>26</v>
      </c>
      <c r="F673" s="17"/>
      <c r="G673" cm="1">
        <f t="array" ref="G673">IFERROR(_xlfn.XLOOKUP(Pedido891011121412131617181921192223[[#This Row],[Id de Producto]],[1]!Precios[[#All],[Id de Producto]],[1]!Precios[[#All],[Coste estándar]])*Pedido891011121412131617181921192223[[#This Row],[Pedido]],0)</f>
        <v>0</v>
      </c>
      <c r="H673" s="18">
        <v>0</v>
      </c>
      <c r="I673" s="15" t="s">
        <v>781</v>
      </c>
      <c r="J673" s="1"/>
      <c r="K673" s="1"/>
      <c r="L673" s="1"/>
      <c r="M673" s="1"/>
      <c r="N673" s="1"/>
    </row>
    <row r="674" spans="1:14" hidden="1" x14ac:dyDescent="0.25">
      <c r="A674" s="1"/>
      <c r="B674" s="15" t="s">
        <v>781</v>
      </c>
      <c r="C674" s="15" t="s">
        <v>1356</v>
      </c>
      <c r="D674" s="15" t="s">
        <v>1357</v>
      </c>
      <c r="E674" s="16" t="s">
        <v>26</v>
      </c>
      <c r="F674" s="17"/>
      <c r="G674" cm="1">
        <f t="array" ref="G674">IFERROR(_xlfn.XLOOKUP(Pedido891011121412131617181921192223[[#This Row],[Id de Producto]],[1]!Precios[[#All],[Id de Producto]],[1]!Precios[[#All],[Coste estándar]])*Pedido891011121412131617181921192223[[#This Row],[Pedido]],0)</f>
        <v>0</v>
      </c>
      <c r="H674" s="15">
        <v>0</v>
      </c>
      <c r="I674" s="15" t="s">
        <v>781</v>
      </c>
      <c r="J674" s="1"/>
      <c r="K674" s="1"/>
      <c r="L674" s="1"/>
      <c r="M674" s="1"/>
      <c r="N674" s="1"/>
    </row>
    <row r="675" spans="1:14" hidden="1" x14ac:dyDescent="0.25">
      <c r="A675" s="1"/>
      <c r="B675" s="16" t="s">
        <v>781</v>
      </c>
      <c r="C675" s="15" t="s">
        <v>1358</v>
      </c>
      <c r="D675" s="15" t="s">
        <v>1359</v>
      </c>
      <c r="E675" s="16" t="s">
        <v>26</v>
      </c>
      <c r="F675" s="17"/>
      <c r="G675" cm="1">
        <f t="array" ref="G675">IFERROR(_xlfn.XLOOKUP(Pedido891011121412131617181921192223[[#This Row],[Id de Producto]],[1]!Precios[[#All],[Id de Producto]],[1]!Precios[[#All],[Coste estándar]])*Pedido891011121412131617181921192223[[#This Row],[Pedido]],0)</f>
        <v>0</v>
      </c>
      <c r="H675" s="18">
        <v>0</v>
      </c>
      <c r="I675" s="15" t="s">
        <v>781</v>
      </c>
      <c r="J675" s="1"/>
      <c r="K675" s="1"/>
      <c r="L675" s="1"/>
      <c r="M675" s="1"/>
      <c r="N675" s="1"/>
    </row>
    <row r="676" spans="1:14" hidden="1" x14ac:dyDescent="0.25">
      <c r="A676" s="1"/>
      <c r="B676" s="16" t="s">
        <v>781</v>
      </c>
      <c r="C676" s="15" t="s">
        <v>1360</v>
      </c>
      <c r="D676" s="15" t="s">
        <v>1361</v>
      </c>
      <c r="E676" s="16" t="s">
        <v>26</v>
      </c>
      <c r="F676" s="17"/>
      <c r="G676" cm="1">
        <f t="array" ref="G676">IFERROR(_xlfn.XLOOKUP(Pedido891011121412131617181921192223[[#This Row],[Id de Producto]],[1]!Precios[[#All],[Id de Producto]],[1]!Precios[[#All],[Coste estándar]])*Pedido891011121412131617181921192223[[#This Row],[Pedido]],0)</f>
        <v>0</v>
      </c>
      <c r="H676" s="18">
        <v>0</v>
      </c>
      <c r="I676" s="15" t="s">
        <v>781</v>
      </c>
      <c r="J676" s="1"/>
      <c r="K676" s="1"/>
      <c r="L676" s="1"/>
      <c r="M676" s="1"/>
      <c r="N676" s="1"/>
    </row>
    <row r="677" spans="1:14" hidden="1" x14ac:dyDescent="0.25">
      <c r="A677" s="1"/>
      <c r="B677" s="16" t="s">
        <v>781</v>
      </c>
      <c r="C677" s="15" t="s">
        <v>1362</v>
      </c>
      <c r="D677" s="15" t="s">
        <v>1363</v>
      </c>
      <c r="E677" s="16" t="s">
        <v>26</v>
      </c>
      <c r="F677" s="17"/>
      <c r="G677" cm="1">
        <f t="array" ref="G677">IFERROR(_xlfn.XLOOKUP(Pedido891011121412131617181921192223[[#This Row],[Id de Producto]],[1]!Precios[[#All],[Id de Producto]],[1]!Precios[[#All],[Coste estándar]])*Pedido891011121412131617181921192223[[#This Row],[Pedido]],0)</f>
        <v>0</v>
      </c>
      <c r="H677" s="18">
        <v>0</v>
      </c>
      <c r="I677" s="15" t="s">
        <v>781</v>
      </c>
      <c r="J677" s="1"/>
      <c r="K677" s="1"/>
      <c r="L677" s="1"/>
      <c r="M677" s="1"/>
      <c r="N677" s="1"/>
    </row>
    <row r="678" spans="1:14" hidden="1" x14ac:dyDescent="0.25">
      <c r="A678" s="1"/>
      <c r="B678" s="15" t="s">
        <v>781</v>
      </c>
      <c r="C678" s="15" t="s">
        <v>1364</v>
      </c>
      <c r="D678" s="15" t="s">
        <v>1365</v>
      </c>
      <c r="E678" s="15" t="s">
        <v>22</v>
      </c>
      <c r="F678" s="17"/>
      <c r="G678" cm="1">
        <f t="array" ref="G678">IFERROR(_xlfn.XLOOKUP(Pedido891011121412131617181921192223[[#This Row],[Id de Producto]],[1]!Precios[[#All],[Id de Producto]],[1]!Precios[[#All],[Coste estándar]])*Pedido891011121412131617181921192223[[#This Row],[Pedido]],0)</f>
        <v>0</v>
      </c>
      <c r="H678" s="18">
        <v>0</v>
      </c>
      <c r="I678" s="15" t="s">
        <v>781</v>
      </c>
      <c r="J678" s="1"/>
      <c r="K678" s="1"/>
      <c r="L678" s="1"/>
      <c r="M678" s="1"/>
      <c r="N678" s="1"/>
    </row>
    <row r="679" spans="1:14" hidden="1" x14ac:dyDescent="0.25">
      <c r="A679" s="1"/>
      <c r="B679" s="15" t="s">
        <v>781</v>
      </c>
      <c r="C679" s="15" t="s">
        <v>1366</v>
      </c>
      <c r="D679" s="15" t="s">
        <v>1367</v>
      </c>
      <c r="E679" s="16" t="s">
        <v>26</v>
      </c>
      <c r="F679" s="17"/>
      <c r="G679" cm="1">
        <f t="array" ref="G679">IFERROR(_xlfn.XLOOKUP(Pedido891011121412131617181921192223[[#This Row],[Id de Producto]],[1]!Precios[[#All],[Id de Producto]],[1]!Precios[[#All],[Coste estándar]])*Pedido891011121412131617181921192223[[#This Row],[Pedido]],0)</f>
        <v>0</v>
      </c>
      <c r="H679" s="15">
        <v>0</v>
      </c>
      <c r="I679" s="15" t="s">
        <v>781</v>
      </c>
      <c r="J679" s="1"/>
      <c r="K679" s="1"/>
      <c r="L679" s="1"/>
      <c r="M679" s="1"/>
      <c r="N679" s="1"/>
    </row>
    <row r="680" spans="1:14" hidden="1" x14ac:dyDescent="0.25">
      <c r="A680" s="1"/>
      <c r="B680" s="16" t="s">
        <v>781</v>
      </c>
      <c r="C680" s="15" t="s">
        <v>1368</v>
      </c>
      <c r="D680" s="15" t="s">
        <v>1369</v>
      </c>
      <c r="E680" s="16" t="s">
        <v>18</v>
      </c>
      <c r="F680" s="17"/>
      <c r="G680" cm="1">
        <f t="array" ref="G680">IFERROR(_xlfn.XLOOKUP(Pedido891011121412131617181921192223[[#This Row],[Id de Producto]],[1]!Precios[[#All],[Id de Producto]],[1]!Precios[[#All],[Coste estándar]])*Pedido891011121412131617181921192223[[#This Row],[Pedido]],0)</f>
        <v>0</v>
      </c>
      <c r="H680" s="18">
        <v>0</v>
      </c>
      <c r="I680" s="15" t="s">
        <v>781</v>
      </c>
      <c r="J680" s="1"/>
      <c r="K680" s="1"/>
      <c r="L680" s="1"/>
      <c r="M680" s="1"/>
      <c r="N680" s="1"/>
    </row>
    <row r="681" spans="1:14" hidden="1" x14ac:dyDescent="0.25">
      <c r="A681" s="1"/>
      <c r="B681" s="16" t="s">
        <v>781</v>
      </c>
      <c r="C681" s="15" t="s">
        <v>1370</v>
      </c>
      <c r="D681" s="15" t="s">
        <v>1371</v>
      </c>
      <c r="E681" s="16" t="s">
        <v>26</v>
      </c>
      <c r="F681" s="17"/>
      <c r="G681" cm="1">
        <f t="array" ref="G681">IFERROR(_xlfn.XLOOKUP(Pedido891011121412131617181921192223[[#This Row],[Id de Producto]],[1]!Precios[[#All],[Id de Producto]],[1]!Precios[[#All],[Coste estándar]])*Pedido891011121412131617181921192223[[#This Row],[Pedido]],0)</f>
        <v>0</v>
      </c>
      <c r="H681" s="18">
        <v>0</v>
      </c>
      <c r="I681" s="15" t="s">
        <v>781</v>
      </c>
      <c r="J681" s="1"/>
      <c r="K681" s="1"/>
      <c r="L681" s="1"/>
      <c r="M681" s="1"/>
      <c r="N681" s="1"/>
    </row>
    <row r="682" spans="1:14" hidden="1" x14ac:dyDescent="0.25">
      <c r="A682" s="1"/>
      <c r="B682" s="15" t="s">
        <v>781</v>
      </c>
      <c r="C682" s="15" t="s">
        <v>1372</v>
      </c>
      <c r="D682" s="15" t="s">
        <v>1373</v>
      </c>
      <c r="E682" s="15" t="s">
        <v>26</v>
      </c>
      <c r="F682" s="17"/>
      <c r="G682" cm="1">
        <f t="array" ref="G682">IFERROR(_xlfn.XLOOKUP(Pedido891011121412131617181921192223[[#This Row],[Id de Producto]],[1]!Precios[[#All],[Id de Producto]],[1]!Precios[[#All],[Coste estándar]])*Pedido891011121412131617181921192223[[#This Row],[Pedido]],0)</f>
        <v>0</v>
      </c>
      <c r="H682" s="18">
        <v>0</v>
      </c>
      <c r="I682" s="15" t="s">
        <v>781</v>
      </c>
      <c r="J682" s="1"/>
      <c r="K682" s="1"/>
      <c r="L682" s="1"/>
      <c r="M682" s="1"/>
      <c r="N682" s="1"/>
    </row>
    <row r="683" spans="1:14" hidden="1" x14ac:dyDescent="0.25">
      <c r="A683" s="1"/>
      <c r="B683" s="16" t="s">
        <v>781</v>
      </c>
      <c r="C683" s="15" t="s">
        <v>1374</v>
      </c>
      <c r="D683" s="15" t="s">
        <v>1375</v>
      </c>
      <c r="E683" s="16" t="s">
        <v>120</v>
      </c>
      <c r="F683" s="17"/>
      <c r="G683" cm="1">
        <f t="array" ref="G683">IFERROR(_xlfn.XLOOKUP(Pedido891011121412131617181921192223[[#This Row],[Id de Producto]],[1]!Precios[[#All],[Id de Producto]],[1]!Precios[[#All],[Coste estándar]])*Pedido891011121412131617181921192223[[#This Row],[Pedido]],0)</f>
        <v>0</v>
      </c>
      <c r="H683" s="18">
        <v>0</v>
      </c>
      <c r="I683" s="15" t="s">
        <v>781</v>
      </c>
      <c r="J683" s="1"/>
      <c r="K683" s="1"/>
      <c r="L683" s="1"/>
      <c r="M683" s="1"/>
      <c r="N683" s="1"/>
    </row>
    <row r="684" spans="1:14" hidden="1" x14ac:dyDescent="0.25">
      <c r="A684" s="1"/>
      <c r="B684" s="16" t="s">
        <v>781</v>
      </c>
      <c r="C684" s="15" t="s">
        <v>1376</v>
      </c>
      <c r="D684" s="15" t="s">
        <v>1377</v>
      </c>
      <c r="E684" s="16" t="s">
        <v>26</v>
      </c>
      <c r="F684" s="17"/>
      <c r="G684" cm="1">
        <f t="array" ref="G684">IFERROR(_xlfn.XLOOKUP(Pedido891011121412131617181921192223[[#This Row],[Id de Producto]],[1]!Precios[[#All],[Id de Producto]],[1]!Precios[[#All],[Coste estándar]])*Pedido891011121412131617181921192223[[#This Row],[Pedido]],0)</f>
        <v>0</v>
      </c>
      <c r="H684" s="18">
        <v>0</v>
      </c>
      <c r="I684" s="15" t="s">
        <v>781</v>
      </c>
      <c r="J684" s="1"/>
      <c r="K684" s="1"/>
      <c r="L684" s="1"/>
      <c r="M684" s="1"/>
      <c r="N684" s="1"/>
    </row>
    <row r="685" spans="1:14" hidden="1" x14ac:dyDescent="0.25">
      <c r="A685" s="1"/>
      <c r="B685" s="15" t="s">
        <v>781</v>
      </c>
      <c r="C685" s="15" t="s">
        <v>1378</v>
      </c>
      <c r="D685" s="15" t="s">
        <v>1379</v>
      </c>
      <c r="E685" s="16" t="s">
        <v>18</v>
      </c>
      <c r="F685" s="17"/>
      <c r="G685" cm="1">
        <f t="array" ref="G685">IFERROR(_xlfn.XLOOKUP(Pedido891011121412131617181921192223[[#This Row],[Id de Producto]],[1]!Precios[[#All],[Id de Producto]],[1]!Precios[[#All],[Coste estándar]])*Pedido891011121412131617181921192223[[#This Row],[Pedido]],0)</f>
        <v>0</v>
      </c>
      <c r="H685" s="15">
        <v>0</v>
      </c>
      <c r="I685" s="15" t="s">
        <v>781</v>
      </c>
      <c r="J685" s="1"/>
      <c r="K685" s="1"/>
      <c r="L685" s="1"/>
      <c r="M685" s="1"/>
      <c r="N685" s="1"/>
    </row>
    <row r="686" spans="1:14" hidden="1" x14ac:dyDescent="0.25">
      <c r="A686" s="1"/>
      <c r="B686" s="16" t="s">
        <v>781</v>
      </c>
      <c r="C686" s="15" t="s">
        <v>1380</v>
      </c>
      <c r="D686" s="15" t="s">
        <v>1381</v>
      </c>
      <c r="E686" s="16" t="s">
        <v>26</v>
      </c>
      <c r="F686" s="17"/>
      <c r="G686" cm="1">
        <f t="array" ref="G686">IFERROR(_xlfn.XLOOKUP(Pedido891011121412131617181921192223[[#This Row],[Id de Producto]],[1]!Precios[[#All],[Id de Producto]],[1]!Precios[[#All],[Coste estándar]])*Pedido891011121412131617181921192223[[#This Row],[Pedido]],0)</f>
        <v>0</v>
      </c>
      <c r="H686" s="18">
        <v>0</v>
      </c>
      <c r="I686" s="15" t="s">
        <v>781</v>
      </c>
      <c r="J686" s="1"/>
      <c r="K686" s="1"/>
      <c r="L686" s="1"/>
      <c r="M686" s="1"/>
      <c r="N686" s="1"/>
    </row>
    <row r="687" spans="1:14" hidden="1" x14ac:dyDescent="0.25">
      <c r="A687" s="1"/>
      <c r="B687" s="15" t="s">
        <v>781</v>
      </c>
      <c r="C687" s="15" t="s">
        <v>1382</v>
      </c>
      <c r="D687" s="15" t="s">
        <v>1383</v>
      </c>
      <c r="E687" s="16" t="s">
        <v>26</v>
      </c>
      <c r="F687" s="17"/>
      <c r="G687" cm="1">
        <f t="array" ref="G687">IFERROR(_xlfn.XLOOKUP(Pedido891011121412131617181921192223[[#This Row],[Id de Producto]],[1]!Precios[[#All],[Id de Producto]],[1]!Precios[[#All],[Coste estándar]])*Pedido891011121412131617181921192223[[#This Row],[Pedido]],0)</f>
        <v>0</v>
      </c>
      <c r="H687" s="15">
        <v>0</v>
      </c>
      <c r="I687" s="15" t="s">
        <v>781</v>
      </c>
      <c r="J687" s="1"/>
      <c r="K687" s="1"/>
      <c r="L687" s="1"/>
      <c r="M687" s="1"/>
      <c r="N687" s="1"/>
    </row>
    <row r="688" spans="1:14" hidden="1" x14ac:dyDescent="0.25">
      <c r="A688" s="1"/>
      <c r="B688" s="16" t="s">
        <v>781</v>
      </c>
      <c r="C688" s="15" t="s">
        <v>1384</v>
      </c>
      <c r="D688" s="15" t="s">
        <v>1385</v>
      </c>
      <c r="E688" s="16" t="s">
        <v>26</v>
      </c>
      <c r="F688" s="17"/>
      <c r="G688" cm="1">
        <f t="array" ref="G688">IFERROR(_xlfn.XLOOKUP(Pedido891011121412131617181921192223[[#This Row],[Id de Producto]],[1]!Precios[[#All],[Id de Producto]],[1]!Precios[[#All],[Coste estándar]])*Pedido891011121412131617181921192223[[#This Row],[Pedido]],0)</f>
        <v>0</v>
      </c>
      <c r="H688" s="18">
        <v>0</v>
      </c>
      <c r="I688" s="15" t="s">
        <v>781</v>
      </c>
      <c r="J688" s="1"/>
      <c r="K688" s="1"/>
      <c r="L688" s="1"/>
      <c r="M688" s="1"/>
      <c r="N688" s="1"/>
    </row>
    <row r="689" spans="1:14" hidden="1" x14ac:dyDescent="0.25">
      <c r="A689" s="1"/>
      <c r="B689" s="15" t="s">
        <v>781</v>
      </c>
      <c r="C689" s="15" t="s">
        <v>1386</v>
      </c>
      <c r="D689" s="15" t="s">
        <v>1387</v>
      </c>
      <c r="E689" s="16" t="s">
        <v>26</v>
      </c>
      <c r="F689" s="17"/>
      <c r="G689" cm="1">
        <f t="array" ref="G689">IFERROR(_xlfn.XLOOKUP(Pedido891011121412131617181921192223[[#This Row],[Id de Producto]],[1]!Precios[[#All],[Id de Producto]],[1]!Precios[[#All],[Coste estándar]])*Pedido891011121412131617181921192223[[#This Row],[Pedido]],0)</f>
        <v>0</v>
      </c>
      <c r="H689" s="15">
        <v>0</v>
      </c>
      <c r="I689" s="15" t="s">
        <v>781</v>
      </c>
      <c r="J689" s="1"/>
      <c r="K689" s="1"/>
      <c r="L689" s="1"/>
      <c r="M689" s="1"/>
      <c r="N689" s="1"/>
    </row>
    <row r="690" spans="1:14" hidden="1" x14ac:dyDescent="0.25">
      <c r="A690" s="1"/>
      <c r="B690" s="16" t="s">
        <v>781</v>
      </c>
      <c r="C690" s="15" t="s">
        <v>1388</v>
      </c>
      <c r="D690" s="15" t="s">
        <v>1389</v>
      </c>
      <c r="E690" s="16" t="s">
        <v>26</v>
      </c>
      <c r="F690" s="17"/>
      <c r="G690" cm="1">
        <f t="array" ref="G690">IFERROR(_xlfn.XLOOKUP(Pedido891011121412131617181921192223[[#This Row],[Id de Producto]],[1]!Precios[[#All],[Id de Producto]],[1]!Precios[[#All],[Coste estándar]])*Pedido891011121412131617181921192223[[#This Row],[Pedido]],0)</f>
        <v>0</v>
      </c>
      <c r="H690" s="18">
        <v>0</v>
      </c>
      <c r="I690" s="15" t="s">
        <v>781</v>
      </c>
      <c r="J690" s="1"/>
      <c r="K690" s="1"/>
      <c r="L690" s="1"/>
      <c r="M690" s="1"/>
      <c r="N690" s="1"/>
    </row>
    <row r="691" spans="1:14" hidden="1" x14ac:dyDescent="0.25">
      <c r="A691" s="1"/>
      <c r="B691" s="16" t="s">
        <v>781</v>
      </c>
      <c r="C691" s="15" t="s">
        <v>1390</v>
      </c>
      <c r="D691" s="15" t="s">
        <v>1391</v>
      </c>
      <c r="E691" s="16" t="s">
        <v>26</v>
      </c>
      <c r="F691" s="17"/>
      <c r="G691" cm="1">
        <f t="array" ref="G691">IFERROR(_xlfn.XLOOKUP(Pedido891011121412131617181921192223[[#This Row],[Id de Producto]],[1]!Precios[[#All],[Id de Producto]],[1]!Precios[[#All],[Coste estándar]])*Pedido891011121412131617181921192223[[#This Row],[Pedido]],0)</f>
        <v>0</v>
      </c>
      <c r="H691" s="18">
        <v>0</v>
      </c>
      <c r="I691" s="15" t="s">
        <v>781</v>
      </c>
      <c r="J691" s="1"/>
      <c r="K691" s="1"/>
      <c r="L691" s="1"/>
      <c r="M691" s="1"/>
      <c r="N691" s="1"/>
    </row>
    <row r="692" spans="1:14" hidden="1" x14ac:dyDescent="0.25">
      <c r="A692" s="1"/>
      <c r="B692" s="15" t="s">
        <v>781</v>
      </c>
      <c r="C692" s="15" t="s">
        <v>1392</v>
      </c>
      <c r="D692" s="15" t="s">
        <v>1393</v>
      </c>
      <c r="E692" s="16" t="s">
        <v>26</v>
      </c>
      <c r="F692" s="17"/>
      <c r="G692" cm="1">
        <f t="array" ref="G692">IFERROR(_xlfn.XLOOKUP(Pedido891011121412131617181921192223[[#This Row],[Id de Producto]],[1]!Precios[[#All],[Id de Producto]],[1]!Precios[[#All],[Coste estándar]])*Pedido891011121412131617181921192223[[#This Row],[Pedido]],0)</f>
        <v>0</v>
      </c>
      <c r="H692" s="15">
        <v>0</v>
      </c>
      <c r="I692" s="15" t="s">
        <v>781</v>
      </c>
      <c r="J692" s="1"/>
      <c r="K692" s="1"/>
      <c r="L692" s="1"/>
      <c r="M692" s="1"/>
      <c r="N692" s="1"/>
    </row>
    <row r="693" spans="1:14" hidden="1" x14ac:dyDescent="0.25">
      <c r="A693" s="1"/>
      <c r="B693" s="16" t="s">
        <v>781</v>
      </c>
      <c r="C693" s="15" t="s">
        <v>1394</v>
      </c>
      <c r="D693" s="15" t="s">
        <v>1395</v>
      </c>
      <c r="E693" s="16" t="s">
        <v>26</v>
      </c>
      <c r="F693" s="17"/>
      <c r="G693" cm="1">
        <f t="array" ref="G693">IFERROR(_xlfn.XLOOKUP(Pedido891011121412131617181921192223[[#This Row],[Id de Producto]],[1]!Precios[[#All],[Id de Producto]],[1]!Precios[[#All],[Coste estándar]])*Pedido891011121412131617181921192223[[#This Row],[Pedido]],0)</f>
        <v>0</v>
      </c>
      <c r="H693" s="18">
        <v>0</v>
      </c>
      <c r="I693" s="15" t="s">
        <v>781</v>
      </c>
      <c r="J693" s="1"/>
      <c r="K693" s="1"/>
      <c r="L693" s="1"/>
      <c r="M693" s="1"/>
      <c r="N693" s="1"/>
    </row>
    <row r="694" spans="1:14" hidden="1" x14ac:dyDescent="0.25">
      <c r="A694" s="1"/>
      <c r="B694" s="15" t="s">
        <v>781</v>
      </c>
      <c r="C694" s="15" t="s">
        <v>1396</v>
      </c>
      <c r="D694" s="15" t="s">
        <v>1397</v>
      </c>
      <c r="E694" s="16" t="s">
        <v>26</v>
      </c>
      <c r="F694" s="17"/>
      <c r="G694" cm="1">
        <f t="array" ref="G694">IFERROR(_xlfn.XLOOKUP(Pedido891011121412131617181921192223[[#This Row],[Id de Producto]],[1]!Precios[[#All],[Id de Producto]],[1]!Precios[[#All],[Coste estándar]])*Pedido891011121412131617181921192223[[#This Row],[Pedido]],0)</f>
        <v>0</v>
      </c>
      <c r="H694" s="15">
        <v>0</v>
      </c>
      <c r="I694" s="15" t="s">
        <v>781</v>
      </c>
      <c r="J694" s="1"/>
      <c r="K694" s="1"/>
      <c r="L694" s="1"/>
      <c r="M694" s="1"/>
      <c r="N694" s="1"/>
    </row>
    <row r="695" spans="1:14" hidden="1" x14ac:dyDescent="0.25">
      <c r="A695" s="1"/>
      <c r="B695" s="15" t="s">
        <v>781</v>
      </c>
      <c r="C695" s="15" t="s">
        <v>1398</v>
      </c>
      <c r="D695" s="15" t="s">
        <v>1399</v>
      </c>
      <c r="E695" s="16" t="s">
        <v>26</v>
      </c>
      <c r="F695" s="17"/>
      <c r="G695" cm="1">
        <f t="array" ref="G695">IFERROR(_xlfn.XLOOKUP(Pedido891011121412131617181921192223[[#This Row],[Id de Producto]],[1]!Precios[[#All],[Id de Producto]],[1]!Precios[[#All],[Coste estándar]])*Pedido891011121412131617181921192223[[#This Row],[Pedido]],0)</f>
        <v>0</v>
      </c>
      <c r="H695" s="18">
        <v>0</v>
      </c>
      <c r="I695" s="15" t="s">
        <v>781</v>
      </c>
      <c r="J695" s="1"/>
      <c r="K695" s="1"/>
      <c r="L695" s="1"/>
      <c r="M695" s="1"/>
      <c r="N695" s="1"/>
    </row>
    <row r="696" spans="1:14" hidden="1" x14ac:dyDescent="0.25">
      <c r="A696" s="1"/>
      <c r="B696" s="16" t="s">
        <v>781</v>
      </c>
      <c r="C696" s="15" t="s">
        <v>1400</v>
      </c>
      <c r="D696" s="15" t="s">
        <v>1401</v>
      </c>
      <c r="E696" s="16" t="s">
        <v>26</v>
      </c>
      <c r="F696" s="17"/>
      <c r="G696" cm="1">
        <f t="array" ref="G696">IFERROR(_xlfn.XLOOKUP(Pedido891011121412131617181921192223[[#This Row],[Id de Producto]],[1]!Precios[[#All],[Id de Producto]],[1]!Precios[[#All],[Coste estándar]])*Pedido891011121412131617181921192223[[#This Row],[Pedido]],0)</f>
        <v>0</v>
      </c>
      <c r="H696" s="18">
        <v>0</v>
      </c>
      <c r="I696" s="15" t="s">
        <v>781</v>
      </c>
      <c r="J696" s="1"/>
      <c r="K696" s="1"/>
      <c r="L696" s="1"/>
      <c r="M696" s="1"/>
      <c r="N696" s="1"/>
    </row>
    <row r="697" spans="1:14" hidden="1" x14ac:dyDescent="0.25">
      <c r="A697" s="1"/>
      <c r="B697" s="16" t="s">
        <v>781</v>
      </c>
      <c r="C697" s="15" t="s">
        <v>1402</v>
      </c>
      <c r="D697" s="15" t="s">
        <v>1403</v>
      </c>
      <c r="E697" s="16" t="s">
        <v>26</v>
      </c>
      <c r="F697" s="17"/>
      <c r="G697" cm="1">
        <f t="array" ref="G697">IFERROR(_xlfn.XLOOKUP(Pedido891011121412131617181921192223[[#This Row],[Id de Producto]],[1]!Precios[[#All],[Id de Producto]],[1]!Precios[[#All],[Coste estándar]])*Pedido891011121412131617181921192223[[#This Row],[Pedido]],0)</f>
        <v>0</v>
      </c>
      <c r="H697" s="18">
        <v>0</v>
      </c>
      <c r="I697" s="15" t="s">
        <v>781</v>
      </c>
      <c r="J697" s="1"/>
      <c r="K697" s="1"/>
      <c r="L697" s="1"/>
      <c r="M697" s="1"/>
      <c r="N697" s="1"/>
    </row>
    <row r="698" spans="1:14" hidden="1" x14ac:dyDescent="0.25">
      <c r="A698" s="1"/>
      <c r="B698" s="16" t="s">
        <v>781</v>
      </c>
      <c r="C698" s="15" t="s">
        <v>1404</v>
      </c>
      <c r="D698" s="15" t="s">
        <v>1405</v>
      </c>
      <c r="E698" s="16" t="s">
        <v>26</v>
      </c>
      <c r="F698" s="17"/>
      <c r="G698" cm="1">
        <f t="array" ref="G698">IFERROR(_xlfn.XLOOKUP(Pedido891011121412131617181921192223[[#This Row],[Id de Producto]],[1]!Precios[[#All],[Id de Producto]],[1]!Precios[[#All],[Coste estándar]])*Pedido891011121412131617181921192223[[#This Row],[Pedido]],0)</f>
        <v>0</v>
      </c>
      <c r="H698" s="18">
        <v>0</v>
      </c>
      <c r="I698" s="15" t="s">
        <v>781</v>
      </c>
      <c r="J698" s="1"/>
      <c r="K698" s="1"/>
      <c r="L698" s="1"/>
      <c r="M698" s="1"/>
      <c r="N698" s="1"/>
    </row>
    <row r="699" spans="1:14" hidden="1" x14ac:dyDescent="0.25">
      <c r="A699" s="1"/>
      <c r="B699" s="16" t="s">
        <v>781</v>
      </c>
      <c r="C699" s="15" t="s">
        <v>1406</v>
      </c>
      <c r="D699" s="15" t="s">
        <v>1407</v>
      </c>
      <c r="E699" s="16" t="s">
        <v>22</v>
      </c>
      <c r="F699" s="17"/>
      <c r="G699" cm="1">
        <f t="array" ref="G699">IFERROR(_xlfn.XLOOKUP(Pedido891011121412131617181921192223[[#This Row],[Id de Producto]],[1]!Precios[[#All],[Id de Producto]],[1]!Precios[[#All],[Coste estándar]])*Pedido891011121412131617181921192223[[#This Row],[Pedido]],0)</f>
        <v>0</v>
      </c>
      <c r="H699" s="18">
        <v>0</v>
      </c>
      <c r="I699" s="15" t="s">
        <v>781</v>
      </c>
      <c r="J699" s="1"/>
      <c r="K699" s="1"/>
      <c r="L699" s="1"/>
      <c r="M699" s="1"/>
      <c r="N699" s="1"/>
    </row>
    <row r="700" spans="1:14" hidden="1" x14ac:dyDescent="0.25">
      <c r="A700" s="1"/>
      <c r="B700" s="16" t="s">
        <v>781</v>
      </c>
      <c r="C700" s="15" t="s">
        <v>1408</v>
      </c>
      <c r="D700" s="15" t="s">
        <v>1409</v>
      </c>
      <c r="E700" s="16" t="s">
        <v>26</v>
      </c>
      <c r="F700" s="17"/>
      <c r="G700" cm="1">
        <f t="array" ref="G700">IFERROR(_xlfn.XLOOKUP(Pedido891011121412131617181921192223[[#This Row],[Id de Producto]],[1]!Precios[[#All],[Id de Producto]],[1]!Precios[[#All],[Coste estándar]])*Pedido891011121412131617181921192223[[#This Row],[Pedido]],0)</f>
        <v>0</v>
      </c>
      <c r="H700" s="18">
        <v>0</v>
      </c>
      <c r="I700" s="15" t="s">
        <v>781</v>
      </c>
      <c r="J700" s="1"/>
      <c r="K700" s="1"/>
      <c r="L700" s="1"/>
      <c r="M700" s="1"/>
      <c r="N700" s="1"/>
    </row>
    <row r="701" spans="1:14" hidden="1" x14ac:dyDescent="0.25">
      <c r="A701" s="1"/>
      <c r="B701" s="16" t="s">
        <v>781</v>
      </c>
      <c r="C701" s="15" t="s">
        <v>1410</v>
      </c>
      <c r="D701" s="15" t="s">
        <v>1411</v>
      </c>
      <c r="E701" s="16" t="s">
        <v>26</v>
      </c>
      <c r="F701" s="17"/>
      <c r="G701" cm="1">
        <f t="array" ref="G701">IFERROR(_xlfn.XLOOKUP(Pedido891011121412131617181921192223[[#This Row],[Id de Producto]],[1]!Precios[[#All],[Id de Producto]],[1]!Precios[[#All],[Coste estándar]])*Pedido891011121412131617181921192223[[#This Row],[Pedido]],0)</f>
        <v>0</v>
      </c>
      <c r="H701" s="18">
        <v>0</v>
      </c>
      <c r="I701" s="15" t="s">
        <v>781</v>
      </c>
      <c r="J701" s="1"/>
      <c r="K701" s="1"/>
      <c r="L701" s="1"/>
      <c r="M701" s="1"/>
      <c r="N701" s="1"/>
    </row>
    <row r="702" spans="1:14" hidden="1" x14ac:dyDescent="0.25">
      <c r="A702" s="1"/>
      <c r="B702" s="15" t="s">
        <v>781</v>
      </c>
      <c r="C702" s="15" t="s">
        <v>1412</v>
      </c>
      <c r="D702" s="15" t="s">
        <v>1413</v>
      </c>
      <c r="E702" s="16" t="s">
        <v>26</v>
      </c>
      <c r="F702" s="17"/>
      <c r="G702" cm="1">
        <f t="array" ref="G702">IFERROR(_xlfn.XLOOKUP(Pedido891011121412131617181921192223[[#This Row],[Id de Producto]],[1]!Precios[[#All],[Id de Producto]],[1]!Precios[[#All],[Coste estándar]])*Pedido891011121412131617181921192223[[#This Row],[Pedido]],0)</f>
        <v>0</v>
      </c>
      <c r="H702" s="18">
        <v>0</v>
      </c>
      <c r="I702" s="15" t="s">
        <v>781</v>
      </c>
      <c r="J702" s="1"/>
      <c r="K702" s="1"/>
      <c r="L702" s="1"/>
      <c r="M702" s="1"/>
      <c r="N702" s="1"/>
    </row>
    <row r="703" spans="1:14" hidden="1" x14ac:dyDescent="0.25">
      <c r="A703" s="1"/>
      <c r="B703" s="16" t="s">
        <v>781</v>
      </c>
      <c r="C703" s="15" t="s">
        <v>1414</v>
      </c>
      <c r="D703" s="15" t="s">
        <v>1415</v>
      </c>
      <c r="E703" s="16" t="s">
        <v>22</v>
      </c>
      <c r="F703" s="17"/>
      <c r="G703" cm="1">
        <f t="array" ref="G703">IFERROR(_xlfn.XLOOKUP(Pedido891011121412131617181921192223[[#This Row],[Id de Producto]],[1]!Precios[[#All],[Id de Producto]],[1]!Precios[[#All],[Coste estándar]])*Pedido891011121412131617181921192223[[#This Row],[Pedido]],0)</f>
        <v>0</v>
      </c>
      <c r="H703" s="18">
        <v>0</v>
      </c>
      <c r="I703" s="15" t="s">
        <v>781</v>
      </c>
      <c r="J703" s="1"/>
      <c r="K703" s="1"/>
      <c r="L703" s="1"/>
      <c r="M703" s="1"/>
      <c r="N703" s="1"/>
    </row>
    <row r="704" spans="1:14" hidden="1" x14ac:dyDescent="0.25">
      <c r="A704" s="1"/>
      <c r="B704" s="15" t="s">
        <v>781</v>
      </c>
      <c r="C704" s="15" t="s">
        <v>1416</v>
      </c>
      <c r="D704" s="15" t="s">
        <v>1417</v>
      </c>
      <c r="E704" s="16" t="s">
        <v>26</v>
      </c>
      <c r="F704" s="17"/>
      <c r="G704" cm="1">
        <f t="array" ref="G704">IFERROR(_xlfn.XLOOKUP(Pedido891011121412131617181921192223[[#This Row],[Id de Producto]],[1]!Precios[[#All],[Id de Producto]],[1]!Precios[[#All],[Coste estándar]])*Pedido891011121412131617181921192223[[#This Row],[Pedido]],0)</f>
        <v>0</v>
      </c>
      <c r="H704" s="15">
        <v>0</v>
      </c>
      <c r="I704" s="15" t="s">
        <v>781</v>
      </c>
      <c r="J704" s="1"/>
      <c r="K704" s="1"/>
      <c r="L704" s="1"/>
      <c r="M704" s="1"/>
      <c r="N704" s="1"/>
    </row>
    <row r="705" spans="1:14" hidden="1" x14ac:dyDescent="0.25">
      <c r="A705" s="1"/>
      <c r="B705" s="15" t="s">
        <v>781</v>
      </c>
      <c r="C705" s="15" t="s">
        <v>1418</v>
      </c>
      <c r="D705" s="15" t="s">
        <v>1419</v>
      </c>
      <c r="E705" s="16" t="s">
        <v>26</v>
      </c>
      <c r="F705" s="17"/>
      <c r="G705" cm="1">
        <f t="array" ref="G705">IFERROR(_xlfn.XLOOKUP(Pedido891011121412131617181921192223[[#This Row],[Id de Producto]],[1]!Precios[[#All],[Id de Producto]],[1]!Precios[[#All],[Coste estándar]])*Pedido891011121412131617181921192223[[#This Row],[Pedido]],0)</f>
        <v>0</v>
      </c>
      <c r="H705" s="15">
        <v>0</v>
      </c>
      <c r="I705" s="15" t="s">
        <v>781</v>
      </c>
      <c r="J705" s="1"/>
      <c r="K705" s="1"/>
      <c r="L705" s="1"/>
      <c r="M705" s="1"/>
      <c r="N705" s="1"/>
    </row>
    <row r="706" spans="1:14" hidden="1" x14ac:dyDescent="0.25">
      <c r="A706" s="1"/>
      <c r="B706" s="15" t="s">
        <v>781</v>
      </c>
      <c r="C706" s="15" t="s">
        <v>1420</v>
      </c>
      <c r="D706" s="15" t="s">
        <v>1421</v>
      </c>
      <c r="E706" s="16" t="s">
        <v>26</v>
      </c>
      <c r="F706" s="17"/>
      <c r="G706" cm="1">
        <f t="array" ref="G706">IFERROR(_xlfn.XLOOKUP(Pedido891011121412131617181921192223[[#This Row],[Id de Producto]],[1]!Precios[[#All],[Id de Producto]],[1]!Precios[[#All],[Coste estándar]])*Pedido891011121412131617181921192223[[#This Row],[Pedido]],0)</f>
        <v>0</v>
      </c>
      <c r="H706" s="15">
        <v>0</v>
      </c>
      <c r="I706" s="15" t="s">
        <v>781</v>
      </c>
      <c r="J706" s="1"/>
      <c r="K706" s="1"/>
      <c r="L706" s="1"/>
      <c r="M706" s="1"/>
      <c r="N706" s="1"/>
    </row>
    <row r="707" spans="1:14" hidden="1" x14ac:dyDescent="0.25">
      <c r="A707" s="1"/>
      <c r="B707" s="15" t="s">
        <v>781</v>
      </c>
      <c r="C707" s="15" t="s">
        <v>1422</v>
      </c>
      <c r="D707" s="15" t="s">
        <v>1423</v>
      </c>
      <c r="E707" s="16" t="s">
        <v>26</v>
      </c>
      <c r="F707" s="17"/>
      <c r="G707" cm="1">
        <f t="array" ref="G707">IFERROR(_xlfn.XLOOKUP(Pedido891011121412131617181921192223[[#This Row],[Id de Producto]],[1]!Precios[[#All],[Id de Producto]],[1]!Precios[[#All],[Coste estándar]])*Pedido891011121412131617181921192223[[#This Row],[Pedido]],0)</f>
        <v>0</v>
      </c>
      <c r="H707" s="15">
        <v>0</v>
      </c>
      <c r="I707" s="15" t="s">
        <v>781</v>
      </c>
      <c r="J707" s="1"/>
      <c r="K707" s="1"/>
      <c r="L707" s="1"/>
      <c r="M707" s="1"/>
      <c r="N707" s="1"/>
    </row>
    <row r="708" spans="1:14" hidden="1" x14ac:dyDescent="0.25">
      <c r="A708" s="1"/>
      <c r="B708" s="15" t="s">
        <v>781</v>
      </c>
      <c r="C708" s="15" t="s">
        <v>1424</v>
      </c>
      <c r="D708" s="15" t="s">
        <v>1425</v>
      </c>
      <c r="E708" s="16" t="s">
        <v>26</v>
      </c>
      <c r="F708" s="17"/>
      <c r="G708" cm="1">
        <f t="array" ref="G708">IFERROR(_xlfn.XLOOKUP(Pedido891011121412131617181921192223[[#This Row],[Id de Producto]],[1]!Precios[[#All],[Id de Producto]],[1]!Precios[[#All],[Coste estándar]])*Pedido891011121412131617181921192223[[#This Row],[Pedido]],0)</f>
        <v>0</v>
      </c>
      <c r="H708" s="15">
        <v>0</v>
      </c>
      <c r="I708" s="15" t="s">
        <v>781</v>
      </c>
      <c r="J708" s="1"/>
      <c r="K708" s="1"/>
      <c r="L708" s="1"/>
      <c r="M708" s="1"/>
      <c r="N708" s="1"/>
    </row>
    <row r="709" spans="1:14" hidden="1" x14ac:dyDescent="0.25">
      <c r="A709" s="1"/>
      <c r="B709" s="15" t="s">
        <v>781</v>
      </c>
      <c r="C709" s="15" t="s">
        <v>1426</v>
      </c>
      <c r="D709" s="15" t="s">
        <v>1427</v>
      </c>
      <c r="E709" s="16" t="s">
        <v>26</v>
      </c>
      <c r="F709" s="17"/>
      <c r="G709" cm="1">
        <f t="array" ref="G709">IFERROR(_xlfn.XLOOKUP(Pedido891011121412131617181921192223[[#This Row],[Id de Producto]],[1]!Precios[[#All],[Id de Producto]],[1]!Precios[[#All],[Coste estándar]])*Pedido891011121412131617181921192223[[#This Row],[Pedido]],0)</f>
        <v>0</v>
      </c>
      <c r="H709" s="15">
        <v>0</v>
      </c>
      <c r="I709" s="15" t="s">
        <v>781</v>
      </c>
      <c r="J709" s="1"/>
      <c r="K709" s="1"/>
      <c r="L709" s="1"/>
      <c r="M709" s="1"/>
      <c r="N709" s="1"/>
    </row>
    <row r="710" spans="1:14" hidden="1" x14ac:dyDescent="0.25">
      <c r="A710" s="1"/>
      <c r="B710" s="15" t="s">
        <v>781</v>
      </c>
      <c r="C710" s="15" t="s">
        <v>1428</v>
      </c>
      <c r="D710" s="15" t="s">
        <v>1429</v>
      </c>
      <c r="E710" s="16" t="s">
        <v>26</v>
      </c>
      <c r="F710" s="17"/>
      <c r="G710" cm="1">
        <f t="array" ref="G710">IFERROR(_xlfn.XLOOKUP(Pedido891011121412131617181921192223[[#This Row],[Id de Producto]],[1]!Precios[[#All],[Id de Producto]],[1]!Precios[[#All],[Coste estándar]])*Pedido891011121412131617181921192223[[#This Row],[Pedido]],0)</f>
        <v>0</v>
      </c>
      <c r="H710" s="15">
        <v>0</v>
      </c>
      <c r="I710" s="15" t="s">
        <v>781</v>
      </c>
      <c r="J710" s="1"/>
      <c r="K710" s="1"/>
      <c r="L710" s="1"/>
      <c r="M710" s="1"/>
      <c r="N710" s="1"/>
    </row>
    <row r="711" spans="1:14" hidden="1" x14ac:dyDescent="0.25">
      <c r="A711" s="1"/>
      <c r="B711" s="15" t="s">
        <v>781</v>
      </c>
      <c r="C711" s="15" t="s">
        <v>1430</v>
      </c>
      <c r="D711" s="15" t="s">
        <v>1431</v>
      </c>
      <c r="E711" s="16" t="s">
        <v>26</v>
      </c>
      <c r="F711" s="17"/>
      <c r="G711" cm="1">
        <f t="array" ref="G711">IFERROR(_xlfn.XLOOKUP(Pedido891011121412131617181921192223[[#This Row],[Id de Producto]],[1]!Precios[[#All],[Id de Producto]],[1]!Precios[[#All],[Coste estándar]])*Pedido891011121412131617181921192223[[#This Row],[Pedido]],0)</f>
        <v>0</v>
      </c>
      <c r="H711" s="15">
        <v>0</v>
      </c>
      <c r="I711" s="15" t="s">
        <v>781</v>
      </c>
      <c r="J711" s="1"/>
      <c r="K711" s="1"/>
      <c r="L711" s="1"/>
      <c r="M711" s="1"/>
      <c r="N711" s="1"/>
    </row>
    <row r="712" spans="1:14" hidden="1" x14ac:dyDescent="0.25">
      <c r="A712" s="1"/>
      <c r="B712" s="16" t="s">
        <v>781</v>
      </c>
      <c r="C712" s="15" t="s">
        <v>1432</v>
      </c>
      <c r="D712" s="15" t="s">
        <v>1433</v>
      </c>
      <c r="E712" s="16" t="s">
        <v>22</v>
      </c>
      <c r="F712" s="17"/>
      <c r="G712" cm="1">
        <f t="array" ref="G712">IFERROR(_xlfn.XLOOKUP(Pedido891011121412131617181921192223[[#This Row],[Id de Producto]],[1]!Precios[[#All],[Id de Producto]],[1]!Precios[[#All],[Coste estándar]])*Pedido891011121412131617181921192223[[#This Row],[Pedido]],0)</f>
        <v>0</v>
      </c>
      <c r="H712" s="18">
        <v>0</v>
      </c>
      <c r="I712" s="15" t="s">
        <v>781</v>
      </c>
      <c r="J712" s="1"/>
      <c r="K712" s="1"/>
      <c r="L712" s="1"/>
      <c r="M712" s="1"/>
      <c r="N712" s="1"/>
    </row>
    <row r="713" spans="1:14" hidden="1" x14ac:dyDescent="0.25">
      <c r="A713" s="1"/>
      <c r="B713" s="15" t="s">
        <v>781</v>
      </c>
      <c r="C713" s="15" t="s">
        <v>1434</v>
      </c>
      <c r="D713" s="15" t="s">
        <v>1435</v>
      </c>
      <c r="E713" s="16" t="s">
        <v>26</v>
      </c>
      <c r="F713" s="17"/>
      <c r="G713" cm="1">
        <f t="array" ref="G713">IFERROR(_xlfn.XLOOKUP(Pedido891011121412131617181921192223[[#This Row],[Id de Producto]],[1]!Precios[[#All],[Id de Producto]],[1]!Precios[[#All],[Coste estándar]])*Pedido891011121412131617181921192223[[#This Row],[Pedido]],0)</f>
        <v>0</v>
      </c>
      <c r="H713" s="15">
        <v>0</v>
      </c>
      <c r="I713" s="15" t="s">
        <v>781</v>
      </c>
      <c r="J713" s="1"/>
      <c r="K713" s="1"/>
      <c r="L713" s="1"/>
      <c r="M713" s="1"/>
      <c r="N713" s="1"/>
    </row>
    <row r="714" spans="1:14" hidden="1" x14ac:dyDescent="0.25">
      <c r="A714" s="1"/>
      <c r="B714" s="16" t="s">
        <v>781</v>
      </c>
      <c r="C714" s="15" t="s">
        <v>1436</v>
      </c>
      <c r="D714" s="15" t="s">
        <v>1437</v>
      </c>
      <c r="E714" s="16" t="s">
        <v>18</v>
      </c>
      <c r="F714" s="17"/>
      <c r="G714" cm="1">
        <f t="array" ref="G714">IFERROR(_xlfn.XLOOKUP(Pedido891011121412131617181921192223[[#This Row],[Id de Producto]],[1]!Precios[[#All],[Id de Producto]],[1]!Precios[[#All],[Coste estándar]])*Pedido891011121412131617181921192223[[#This Row],[Pedido]],0)</f>
        <v>0</v>
      </c>
      <c r="H714" s="18">
        <v>0</v>
      </c>
      <c r="I714" s="15" t="s">
        <v>781</v>
      </c>
      <c r="J714" s="1"/>
      <c r="K714" s="1"/>
      <c r="L714" s="1"/>
      <c r="M714" s="1"/>
      <c r="N714" s="1"/>
    </row>
    <row r="715" spans="1:14" hidden="1" x14ac:dyDescent="0.25">
      <c r="A715" s="1"/>
      <c r="B715" s="15" t="s">
        <v>781</v>
      </c>
      <c r="C715" s="15" t="s">
        <v>1438</v>
      </c>
      <c r="D715" s="15" t="s">
        <v>1439</v>
      </c>
      <c r="E715" s="16" t="s">
        <v>26</v>
      </c>
      <c r="F715" s="17"/>
      <c r="G715" cm="1">
        <f t="array" ref="G715">IFERROR(_xlfn.XLOOKUP(Pedido891011121412131617181921192223[[#This Row],[Id de Producto]],[1]!Precios[[#All],[Id de Producto]],[1]!Precios[[#All],[Coste estándar]])*Pedido891011121412131617181921192223[[#This Row],[Pedido]],0)</f>
        <v>0</v>
      </c>
      <c r="H715" s="18">
        <v>0</v>
      </c>
      <c r="I715" s="15" t="s">
        <v>781</v>
      </c>
      <c r="J715" s="1"/>
      <c r="K715" s="1"/>
      <c r="L715" s="1"/>
      <c r="M715" s="1"/>
      <c r="N715" s="1"/>
    </row>
    <row r="716" spans="1:14" hidden="1" x14ac:dyDescent="0.25">
      <c r="A716" s="1"/>
      <c r="B716" s="16" t="s">
        <v>781</v>
      </c>
      <c r="C716" s="15" t="s">
        <v>1440</v>
      </c>
      <c r="D716" s="15" t="s">
        <v>1441</v>
      </c>
      <c r="E716" s="16" t="s">
        <v>18</v>
      </c>
      <c r="F716" s="17"/>
      <c r="G716" cm="1">
        <f t="array" ref="G716">IFERROR(_xlfn.XLOOKUP(Pedido891011121412131617181921192223[[#This Row],[Id de Producto]],[1]!Precios[[#All],[Id de Producto]],[1]!Precios[[#All],[Coste estándar]])*Pedido891011121412131617181921192223[[#This Row],[Pedido]],0)</f>
        <v>0</v>
      </c>
      <c r="H716" s="18">
        <v>0</v>
      </c>
      <c r="I716" s="15" t="s">
        <v>781</v>
      </c>
      <c r="J716" s="1"/>
      <c r="K716" s="1"/>
      <c r="L716" s="1"/>
      <c r="M716" s="1"/>
      <c r="N716" s="1"/>
    </row>
    <row r="717" spans="1:14" hidden="1" x14ac:dyDescent="0.25">
      <c r="A717" s="1"/>
      <c r="B717" s="16" t="s">
        <v>781</v>
      </c>
      <c r="C717" s="15" t="s">
        <v>1442</v>
      </c>
      <c r="D717" s="16" t="s">
        <v>1443</v>
      </c>
      <c r="E717" s="16" t="s">
        <v>18</v>
      </c>
      <c r="F717" s="17"/>
      <c r="G717" cm="1">
        <f t="array" ref="G717">IFERROR(_xlfn.XLOOKUP(Pedido891011121412131617181921192223[[#This Row],[Id de Producto]],[1]!Precios[[#All],[Id de Producto]],[1]!Precios[[#All],[Coste estándar]])*Pedido891011121412131617181921192223[[#This Row],[Pedido]],0)</f>
        <v>0</v>
      </c>
      <c r="H717" s="18">
        <v>0</v>
      </c>
      <c r="I717" s="15" t="s">
        <v>781</v>
      </c>
      <c r="J717" s="1"/>
      <c r="K717" s="1"/>
      <c r="L717" s="1"/>
      <c r="M717" s="1"/>
      <c r="N717" s="1"/>
    </row>
    <row r="718" spans="1:14" hidden="1" x14ac:dyDescent="0.25">
      <c r="A718" s="1"/>
      <c r="B718" s="16" t="s">
        <v>781</v>
      </c>
      <c r="C718" s="15" t="s">
        <v>1444</v>
      </c>
      <c r="D718" s="15" t="s">
        <v>1445</v>
      </c>
      <c r="E718" s="16" t="s">
        <v>26</v>
      </c>
      <c r="F718" s="17"/>
      <c r="G718" cm="1">
        <f t="array" ref="G718">IFERROR(_xlfn.XLOOKUP(Pedido891011121412131617181921192223[[#This Row],[Id de Producto]],[1]!Precios[[#All],[Id de Producto]],[1]!Precios[[#All],[Coste estándar]])*Pedido891011121412131617181921192223[[#This Row],[Pedido]],0)</f>
        <v>0</v>
      </c>
      <c r="H718" s="18">
        <v>0</v>
      </c>
      <c r="I718" s="15" t="s">
        <v>781</v>
      </c>
      <c r="J718" s="1"/>
      <c r="K718" s="1"/>
      <c r="L718" s="1"/>
      <c r="M718" s="1"/>
      <c r="N718" s="1"/>
    </row>
    <row r="719" spans="1:14" hidden="1" x14ac:dyDescent="0.25">
      <c r="A719" s="1"/>
      <c r="B719" s="16" t="s">
        <v>781</v>
      </c>
      <c r="C719" s="15" t="s">
        <v>1446</v>
      </c>
      <c r="D719" s="15" t="s">
        <v>1447</v>
      </c>
      <c r="E719" s="16" t="s">
        <v>26</v>
      </c>
      <c r="F719" s="17"/>
      <c r="G719" cm="1">
        <f t="array" ref="G719">IFERROR(_xlfn.XLOOKUP(Pedido891011121412131617181921192223[[#This Row],[Id de Producto]],[1]!Precios[[#All],[Id de Producto]],[1]!Precios[[#All],[Coste estándar]])*Pedido891011121412131617181921192223[[#This Row],[Pedido]],0)</f>
        <v>0</v>
      </c>
      <c r="H719" s="18">
        <v>0</v>
      </c>
      <c r="I719" s="15" t="s">
        <v>781</v>
      </c>
      <c r="J719" s="1"/>
      <c r="K719" s="1"/>
      <c r="L719" s="1"/>
      <c r="M719" s="1"/>
      <c r="N719" s="1"/>
    </row>
    <row r="720" spans="1:14" hidden="1" x14ac:dyDescent="0.25">
      <c r="A720" s="1"/>
      <c r="B720" s="16" t="s">
        <v>781</v>
      </c>
      <c r="C720" s="15" t="s">
        <v>1448</v>
      </c>
      <c r="D720" s="15" t="s">
        <v>1449</v>
      </c>
      <c r="E720" s="16" t="s">
        <v>26</v>
      </c>
      <c r="F720" s="17"/>
      <c r="G720" cm="1">
        <f t="array" ref="G720">IFERROR(_xlfn.XLOOKUP(Pedido891011121412131617181921192223[[#This Row],[Id de Producto]],[1]!Precios[[#All],[Id de Producto]],[1]!Precios[[#All],[Coste estándar]])*Pedido891011121412131617181921192223[[#This Row],[Pedido]],0)</f>
        <v>0</v>
      </c>
      <c r="H720" s="18">
        <v>0</v>
      </c>
      <c r="I720" s="15" t="s">
        <v>781</v>
      </c>
      <c r="J720" s="1"/>
      <c r="K720" s="1"/>
      <c r="L720" s="1"/>
      <c r="M720" s="1"/>
      <c r="N720" s="1"/>
    </row>
    <row r="721" spans="1:14" hidden="1" x14ac:dyDescent="0.25">
      <c r="A721" s="1"/>
      <c r="B721" s="15" t="s">
        <v>781</v>
      </c>
      <c r="C721" s="15" t="s">
        <v>1450</v>
      </c>
      <c r="D721" s="15" t="s">
        <v>1451</v>
      </c>
      <c r="E721" s="16" t="s">
        <v>26</v>
      </c>
      <c r="F721" s="17"/>
      <c r="G721" cm="1">
        <f t="array" ref="G721">IFERROR(_xlfn.XLOOKUP(Pedido891011121412131617181921192223[[#This Row],[Id de Producto]],[1]!Precios[[#All],[Id de Producto]],[1]!Precios[[#All],[Coste estándar]])*Pedido891011121412131617181921192223[[#This Row],[Pedido]],0)</f>
        <v>0</v>
      </c>
      <c r="H721" s="18">
        <v>0</v>
      </c>
      <c r="I721" s="15" t="s">
        <v>781</v>
      </c>
      <c r="J721" s="1"/>
      <c r="K721" s="1"/>
      <c r="L721" s="1"/>
      <c r="M721" s="1"/>
      <c r="N721" s="1"/>
    </row>
    <row r="722" spans="1:14" hidden="1" x14ac:dyDescent="0.25">
      <c r="A722" s="1"/>
      <c r="B722" s="15" t="s">
        <v>781</v>
      </c>
      <c r="C722" s="15" t="s">
        <v>1452</v>
      </c>
      <c r="D722" s="15" t="s">
        <v>1453</v>
      </c>
      <c r="E722" s="16" t="s">
        <v>26</v>
      </c>
      <c r="F722" s="17"/>
      <c r="G722" cm="1">
        <f t="array" ref="G722">IFERROR(_xlfn.XLOOKUP(Pedido891011121412131617181921192223[[#This Row],[Id de Producto]],[1]!Precios[[#All],[Id de Producto]],[1]!Precios[[#All],[Coste estándar]])*Pedido891011121412131617181921192223[[#This Row],[Pedido]],0)</f>
        <v>0</v>
      </c>
      <c r="H722" s="15">
        <v>0</v>
      </c>
      <c r="I722" s="15" t="s">
        <v>781</v>
      </c>
      <c r="J722" s="1"/>
      <c r="K722" s="1"/>
      <c r="L722" s="1"/>
      <c r="M722" s="1"/>
      <c r="N722" s="1"/>
    </row>
    <row r="723" spans="1:14" hidden="1" x14ac:dyDescent="0.25">
      <c r="A723" s="1"/>
      <c r="B723" s="16" t="s">
        <v>781</v>
      </c>
      <c r="C723" s="15" t="s">
        <v>1454</v>
      </c>
      <c r="D723" s="15" t="s">
        <v>1455</v>
      </c>
      <c r="E723" s="16" t="s">
        <v>22</v>
      </c>
      <c r="F723" s="17"/>
      <c r="G723" cm="1">
        <f t="array" ref="G723">IFERROR(_xlfn.XLOOKUP(Pedido891011121412131617181921192223[[#This Row],[Id de Producto]],[1]!Precios[[#All],[Id de Producto]],[1]!Precios[[#All],[Coste estándar]])*Pedido891011121412131617181921192223[[#This Row],[Pedido]],0)</f>
        <v>0</v>
      </c>
      <c r="H723" s="18">
        <v>0</v>
      </c>
      <c r="I723" s="15" t="s">
        <v>781</v>
      </c>
      <c r="J723" s="1"/>
      <c r="K723" s="1"/>
      <c r="L723" s="1"/>
      <c r="M723" s="1"/>
      <c r="N723" s="1"/>
    </row>
    <row r="724" spans="1:14" hidden="1" x14ac:dyDescent="0.25">
      <c r="A724" s="1"/>
      <c r="B724" s="16" t="s">
        <v>781</v>
      </c>
      <c r="C724" s="15" t="s">
        <v>1456</v>
      </c>
      <c r="D724" s="15" t="s">
        <v>1457</v>
      </c>
      <c r="E724" s="16" t="s">
        <v>26</v>
      </c>
      <c r="F724" s="17"/>
      <c r="G724" cm="1">
        <f t="array" ref="G724">IFERROR(_xlfn.XLOOKUP(Pedido891011121412131617181921192223[[#This Row],[Id de Producto]],[1]!Precios[[#All],[Id de Producto]],[1]!Precios[[#All],[Coste estándar]])*Pedido891011121412131617181921192223[[#This Row],[Pedido]],0)</f>
        <v>0</v>
      </c>
      <c r="H724" s="18">
        <v>0</v>
      </c>
      <c r="I724" s="15" t="s">
        <v>781</v>
      </c>
      <c r="J724" s="1"/>
      <c r="K724" s="1"/>
      <c r="L724" s="1"/>
      <c r="M724" s="1"/>
      <c r="N724" s="1"/>
    </row>
    <row r="725" spans="1:14" hidden="1" x14ac:dyDescent="0.25">
      <c r="A725" s="1"/>
      <c r="B725" s="16" t="s">
        <v>781</v>
      </c>
      <c r="C725" s="15" t="s">
        <v>1458</v>
      </c>
      <c r="D725" s="15" t="s">
        <v>1459</v>
      </c>
      <c r="E725" s="16" t="s">
        <v>26</v>
      </c>
      <c r="F725" s="17"/>
      <c r="G725" cm="1">
        <f t="array" ref="G725">IFERROR(_xlfn.XLOOKUP(Pedido891011121412131617181921192223[[#This Row],[Id de Producto]],[1]!Precios[[#All],[Id de Producto]],[1]!Precios[[#All],[Coste estándar]])*Pedido891011121412131617181921192223[[#This Row],[Pedido]],0)</f>
        <v>0</v>
      </c>
      <c r="H725" s="18">
        <v>0</v>
      </c>
      <c r="I725" s="15" t="s">
        <v>781</v>
      </c>
      <c r="J725" s="1"/>
      <c r="K725" s="1"/>
      <c r="L725" s="1"/>
      <c r="M725" s="1"/>
      <c r="N725" s="1"/>
    </row>
    <row r="726" spans="1:14" hidden="1" x14ac:dyDescent="0.25">
      <c r="A726" s="1"/>
      <c r="B726" s="16" t="s">
        <v>781</v>
      </c>
      <c r="C726" s="15" t="s">
        <v>1460</v>
      </c>
      <c r="D726" s="15" t="s">
        <v>1461</v>
      </c>
      <c r="E726" s="16" t="s">
        <v>26</v>
      </c>
      <c r="F726" s="17"/>
      <c r="G726" cm="1">
        <f t="array" ref="G726">IFERROR(_xlfn.XLOOKUP(Pedido891011121412131617181921192223[[#This Row],[Id de Producto]],[1]!Precios[[#All],[Id de Producto]],[1]!Precios[[#All],[Coste estándar]])*Pedido891011121412131617181921192223[[#This Row],[Pedido]],0)</f>
        <v>0</v>
      </c>
      <c r="H726" s="18">
        <v>0</v>
      </c>
      <c r="I726" s="15" t="s">
        <v>781</v>
      </c>
      <c r="J726" s="1"/>
      <c r="K726" s="1"/>
      <c r="L726" s="1"/>
      <c r="M726" s="1"/>
      <c r="N726" s="1"/>
    </row>
    <row r="727" spans="1:14" hidden="1" x14ac:dyDescent="0.25">
      <c r="A727" s="1"/>
      <c r="B727" s="15" t="s">
        <v>781</v>
      </c>
      <c r="C727" s="15" t="s">
        <v>1462</v>
      </c>
      <c r="D727" s="15" t="s">
        <v>1463</v>
      </c>
      <c r="E727" s="16" t="s">
        <v>26</v>
      </c>
      <c r="F727" s="17"/>
      <c r="G727" cm="1">
        <f t="array" ref="G727">IFERROR(_xlfn.XLOOKUP(Pedido891011121412131617181921192223[[#This Row],[Id de Producto]],[1]!Precios[[#All],[Id de Producto]],[1]!Precios[[#All],[Coste estándar]])*Pedido891011121412131617181921192223[[#This Row],[Pedido]],0)</f>
        <v>0</v>
      </c>
      <c r="H727" s="18">
        <v>0</v>
      </c>
      <c r="I727" s="15" t="s">
        <v>781</v>
      </c>
      <c r="J727" s="1"/>
      <c r="K727" s="1"/>
      <c r="L727" s="1"/>
      <c r="M727" s="1"/>
      <c r="N727" s="1"/>
    </row>
    <row r="728" spans="1:14" hidden="1" x14ac:dyDescent="0.25">
      <c r="A728" s="1"/>
      <c r="B728" s="15" t="s">
        <v>781</v>
      </c>
      <c r="C728" s="15" t="s">
        <v>1464</v>
      </c>
      <c r="D728" s="15" t="s">
        <v>1465</v>
      </c>
      <c r="E728" s="16" t="s">
        <v>26</v>
      </c>
      <c r="F728" s="17"/>
      <c r="G728" cm="1">
        <f t="array" ref="G728">IFERROR(_xlfn.XLOOKUP(Pedido891011121412131617181921192223[[#This Row],[Id de Producto]],[1]!Precios[[#All],[Id de Producto]],[1]!Precios[[#All],[Coste estándar]])*Pedido891011121412131617181921192223[[#This Row],[Pedido]],0)</f>
        <v>0</v>
      </c>
      <c r="H728" s="18">
        <v>0</v>
      </c>
      <c r="I728" s="15" t="s">
        <v>781</v>
      </c>
      <c r="J728" s="1"/>
      <c r="K728" s="1"/>
      <c r="L728" s="1"/>
      <c r="M728" s="1"/>
      <c r="N728" s="1"/>
    </row>
    <row r="729" spans="1:14" hidden="1" x14ac:dyDescent="0.25">
      <c r="A729" s="1"/>
      <c r="B729" s="15" t="s">
        <v>781</v>
      </c>
      <c r="C729" s="15" t="s">
        <v>1466</v>
      </c>
      <c r="D729" s="15" t="s">
        <v>1467</v>
      </c>
      <c r="E729" s="16" t="s">
        <v>18</v>
      </c>
      <c r="F729" s="17"/>
      <c r="G729" cm="1">
        <f t="array" ref="G729">IFERROR(_xlfn.XLOOKUP(Pedido891011121412131617181921192223[[#This Row],[Id de Producto]],[1]!Precios[[#All],[Id de Producto]],[1]!Precios[[#All],[Coste estándar]])*Pedido891011121412131617181921192223[[#This Row],[Pedido]],0)</f>
        <v>0</v>
      </c>
      <c r="H729" s="18">
        <v>0</v>
      </c>
      <c r="I729" s="15" t="s">
        <v>781</v>
      </c>
      <c r="J729" s="1"/>
      <c r="K729" s="1"/>
      <c r="L729" s="1"/>
      <c r="M729" s="1"/>
      <c r="N729" s="1"/>
    </row>
    <row r="730" spans="1:14" hidden="1" x14ac:dyDescent="0.25">
      <c r="A730" s="1"/>
      <c r="B730" s="15" t="s">
        <v>781</v>
      </c>
      <c r="C730" s="15" t="s">
        <v>1468</v>
      </c>
      <c r="D730" s="15" t="s">
        <v>1469</v>
      </c>
      <c r="E730" s="16" t="s">
        <v>26</v>
      </c>
      <c r="F730" s="17"/>
      <c r="G730" cm="1">
        <f t="array" ref="G730">IFERROR(_xlfn.XLOOKUP(Pedido891011121412131617181921192223[[#This Row],[Id de Producto]],[1]!Precios[[#All],[Id de Producto]],[1]!Precios[[#All],[Coste estándar]])*Pedido891011121412131617181921192223[[#This Row],[Pedido]],0)</f>
        <v>0</v>
      </c>
      <c r="H730" s="18">
        <v>0</v>
      </c>
      <c r="I730" s="15" t="s">
        <v>781</v>
      </c>
      <c r="J730" s="1"/>
      <c r="K730" s="1"/>
      <c r="L730" s="1"/>
      <c r="M730" s="1"/>
      <c r="N730" s="1"/>
    </row>
    <row r="731" spans="1:14" hidden="1" x14ac:dyDescent="0.25">
      <c r="A731" s="1"/>
      <c r="B731" s="16" t="s">
        <v>781</v>
      </c>
      <c r="C731" s="15" t="s">
        <v>1470</v>
      </c>
      <c r="D731" s="15" t="s">
        <v>1471</v>
      </c>
      <c r="E731" s="16" t="s">
        <v>18</v>
      </c>
      <c r="F731" s="17"/>
      <c r="G731" cm="1">
        <f t="array" ref="G731">IFERROR(_xlfn.XLOOKUP(Pedido891011121412131617181921192223[[#This Row],[Id de Producto]],[1]!Precios[[#All],[Id de Producto]],[1]!Precios[[#All],[Coste estándar]])*Pedido891011121412131617181921192223[[#This Row],[Pedido]],0)</f>
        <v>0</v>
      </c>
      <c r="H731" s="18">
        <v>0</v>
      </c>
      <c r="I731" s="15" t="s">
        <v>781</v>
      </c>
      <c r="J731" s="1"/>
      <c r="K731" s="1"/>
      <c r="L731" s="1"/>
      <c r="M731" s="1"/>
      <c r="N731" s="1"/>
    </row>
    <row r="732" spans="1:14" hidden="1" x14ac:dyDescent="0.25">
      <c r="A732" s="1"/>
      <c r="B732" s="16" t="s">
        <v>781</v>
      </c>
      <c r="C732" s="15" t="s">
        <v>1472</v>
      </c>
      <c r="D732" s="15" t="s">
        <v>1473</v>
      </c>
      <c r="E732" s="16" t="s">
        <v>26</v>
      </c>
      <c r="F732" s="17"/>
      <c r="G732" cm="1">
        <f t="array" ref="G732">IFERROR(_xlfn.XLOOKUP(Pedido891011121412131617181921192223[[#This Row],[Id de Producto]],[1]!Precios[[#All],[Id de Producto]],[1]!Precios[[#All],[Coste estándar]])*Pedido891011121412131617181921192223[[#This Row],[Pedido]],0)</f>
        <v>0</v>
      </c>
      <c r="H732" s="18">
        <v>0</v>
      </c>
      <c r="I732" s="15" t="s">
        <v>781</v>
      </c>
      <c r="J732" s="1"/>
      <c r="K732" s="1"/>
      <c r="L732" s="1"/>
      <c r="M732" s="1"/>
      <c r="N732" s="1"/>
    </row>
    <row r="733" spans="1:14" hidden="1" x14ac:dyDescent="0.25">
      <c r="A733" s="1"/>
      <c r="B733" s="16" t="s">
        <v>781</v>
      </c>
      <c r="C733" s="15" t="s">
        <v>1474</v>
      </c>
      <c r="D733" s="16" t="s">
        <v>1475</v>
      </c>
      <c r="E733" s="16" t="s">
        <v>22</v>
      </c>
      <c r="F733" s="17"/>
      <c r="G733" cm="1">
        <f t="array" ref="G733">IFERROR(_xlfn.XLOOKUP(Pedido891011121412131617181921192223[[#This Row],[Id de Producto]],[1]!Precios[[#All],[Id de Producto]],[1]!Precios[[#All],[Coste estándar]])*Pedido891011121412131617181921192223[[#This Row],[Pedido]],0)</f>
        <v>0</v>
      </c>
      <c r="H733" s="18">
        <v>0</v>
      </c>
      <c r="I733" s="15" t="s">
        <v>781</v>
      </c>
      <c r="J733" s="1"/>
      <c r="K733" s="1"/>
      <c r="L733" s="1"/>
      <c r="M733" s="1"/>
      <c r="N733" s="1"/>
    </row>
    <row r="734" spans="1:14" hidden="1" x14ac:dyDescent="0.25">
      <c r="A734" s="1"/>
      <c r="B734" s="16" t="s">
        <v>781</v>
      </c>
      <c r="C734" s="15" t="s">
        <v>1476</v>
      </c>
      <c r="D734" s="15" t="s">
        <v>1477</v>
      </c>
      <c r="E734" s="16" t="s">
        <v>26</v>
      </c>
      <c r="F734" s="17"/>
      <c r="G734" cm="1">
        <f t="array" ref="G734">IFERROR(_xlfn.XLOOKUP(Pedido891011121412131617181921192223[[#This Row],[Id de Producto]],[1]!Precios[[#All],[Id de Producto]],[1]!Precios[[#All],[Coste estándar]])*Pedido891011121412131617181921192223[[#This Row],[Pedido]],0)</f>
        <v>0</v>
      </c>
      <c r="H734" s="18">
        <v>0</v>
      </c>
      <c r="I734" s="15" t="s">
        <v>781</v>
      </c>
      <c r="J734" s="1"/>
      <c r="K734" s="1"/>
      <c r="L734" s="1"/>
      <c r="M734" s="1"/>
    </row>
    <row r="735" spans="1:14" hidden="1" x14ac:dyDescent="0.25">
      <c r="A735" s="1"/>
      <c r="B735" s="16" t="s">
        <v>781</v>
      </c>
      <c r="C735" s="15" t="s">
        <v>1478</v>
      </c>
      <c r="D735" s="15" t="s">
        <v>1479</v>
      </c>
      <c r="E735" s="16" t="s">
        <v>26</v>
      </c>
      <c r="F735" s="17"/>
      <c r="G735" cm="1">
        <f t="array" ref="G735">IFERROR(_xlfn.XLOOKUP(Pedido891011121412131617181921192223[[#This Row],[Id de Producto]],[1]!Precios[[#All],[Id de Producto]],[1]!Precios[[#All],[Coste estándar]])*Pedido891011121412131617181921192223[[#This Row],[Pedido]],0)</f>
        <v>0</v>
      </c>
      <c r="H735" s="18">
        <v>0</v>
      </c>
      <c r="I735" s="15" t="s">
        <v>781</v>
      </c>
      <c r="J735" s="1"/>
      <c r="K735" s="1"/>
      <c r="L735" s="1"/>
      <c r="M735" s="1"/>
    </row>
    <row r="736" spans="1:14" hidden="1" x14ac:dyDescent="0.25">
      <c r="A736" s="1"/>
      <c r="B736" s="15" t="s">
        <v>781</v>
      </c>
      <c r="C736" s="15" t="s">
        <v>1480</v>
      </c>
      <c r="D736" s="15" t="s">
        <v>1481</v>
      </c>
      <c r="E736" s="15" t="s">
        <v>26</v>
      </c>
      <c r="F736" s="17"/>
      <c r="G736" cm="1">
        <f t="array" ref="G736">IFERROR(_xlfn.XLOOKUP(Pedido891011121412131617181921192223[[#This Row],[Id de Producto]],[1]!Precios[[#All],[Id de Producto]],[1]!Precios[[#All],[Coste estándar]])*Pedido891011121412131617181921192223[[#This Row],[Pedido]],0)</f>
        <v>0</v>
      </c>
      <c r="H736" s="18">
        <v>0</v>
      </c>
      <c r="I736" s="15" t="s">
        <v>781</v>
      </c>
      <c r="J736" s="1"/>
      <c r="K736" s="1"/>
      <c r="L736" s="1"/>
      <c r="M736" s="1"/>
    </row>
    <row r="737" spans="1:13" hidden="1" x14ac:dyDescent="0.25">
      <c r="A737" s="1"/>
      <c r="B737" s="15" t="s">
        <v>781</v>
      </c>
      <c r="C737" s="15" t="s">
        <v>1482</v>
      </c>
      <c r="D737" s="15" t="s">
        <v>1483</v>
      </c>
      <c r="E737" s="16" t="s">
        <v>26</v>
      </c>
      <c r="F737" s="17"/>
      <c r="G737" cm="1">
        <f t="array" ref="G737">IFERROR(_xlfn.XLOOKUP(Pedido891011121412131617181921192223[[#This Row],[Id de Producto]],[1]!Precios[[#All],[Id de Producto]],[1]!Precios[[#All],[Coste estándar]])*Pedido891011121412131617181921192223[[#This Row],[Pedido]],0)</f>
        <v>0</v>
      </c>
      <c r="H737" s="18">
        <v>0</v>
      </c>
      <c r="I737" s="15" t="s">
        <v>781</v>
      </c>
      <c r="J737" s="1"/>
      <c r="K737" s="1"/>
      <c r="L737" s="1"/>
      <c r="M737" s="1"/>
    </row>
    <row r="738" spans="1:13" hidden="1" x14ac:dyDescent="0.25">
      <c r="A738" s="1"/>
      <c r="B738" s="16" t="s">
        <v>781</v>
      </c>
      <c r="C738" s="15" t="s">
        <v>1484</v>
      </c>
      <c r="D738" s="15" t="s">
        <v>1485</v>
      </c>
      <c r="E738" s="16" t="s">
        <v>26</v>
      </c>
      <c r="F738" s="17"/>
      <c r="G738" cm="1">
        <f t="array" ref="G738">IFERROR(_xlfn.XLOOKUP(Pedido891011121412131617181921192223[[#This Row],[Id de Producto]],[1]!Precios[[#All],[Id de Producto]],[1]!Precios[[#All],[Coste estándar]])*Pedido891011121412131617181921192223[[#This Row],[Pedido]],0)</f>
        <v>0</v>
      </c>
      <c r="H738" s="18">
        <v>0</v>
      </c>
      <c r="I738" s="15" t="s">
        <v>781</v>
      </c>
      <c r="J738" s="1"/>
      <c r="K738" s="1"/>
      <c r="L738" s="1"/>
      <c r="M738" s="1"/>
    </row>
    <row r="739" spans="1:13" hidden="1" x14ac:dyDescent="0.25">
      <c r="A739" s="1"/>
      <c r="B739" s="15" t="s">
        <v>781</v>
      </c>
      <c r="C739" s="15" t="s">
        <v>1486</v>
      </c>
      <c r="D739" s="15" t="s">
        <v>1487</v>
      </c>
      <c r="E739" s="15" t="s">
        <v>26</v>
      </c>
      <c r="F739" s="17"/>
      <c r="G739" cm="1">
        <f t="array" ref="G739">IFERROR(_xlfn.XLOOKUP(Pedido891011121412131617181921192223[[#This Row],[Id de Producto]],[1]!Precios[[#All],[Id de Producto]],[1]!Precios[[#All],[Coste estándar]])*Pedido891011121412131617181921192223[[#This Row],[Pedido]],0)</f>
        <v>0</v>
      </c>
      <c r="H739" s="18">
        <v>0</v>
      </c>
      <c r="I739" s="15" t="s">
        <v>781</v>
      </c>
      <c r="J739" s="1"/>
      <c r="K739" s="1"/>
      <c r="L739" s="1"/>
      <c r="M739" s="1"/>
    </row>
    <row r="740" spans="1:13" hidden="1" x14ac:dyDescent="0.25">
      <c r="A740" s="1"/>
      <c r="B740" s="15" t="s">
        <v>781</v>
      </c>
      <c r="C740" s="15" t="s">
        <v>1488</v>
      </c>
      <c r="D740" s="15" t="s">
        <v>1489</v>
      </c>
      <c r="E740" s="16" t="s">
        <v>26</v>
      </c>
      <c r="F740" s="17"/>
      <c r="G740" cm="1">
        <f t="array" ref="G740">IFERROR(_xlfn.XLOOKUP(Pedido891011121412131617181921192223[[#This Row],[Id de Producto]],[1]!Precios[[#All],[Id de Producto]],[1]!Precios[[#All],[Coste estándar]])*Pedido891011121412131617181921192223[[#This Row],[Pedido]],0)</f>
        <v>0</v>
      </c>
      <c r="H740" s="18">
        <v>0</v>
      </c>
      <c r="I740" s="15" t="s">
        <v>781</v>
      </c>
      <c r="J740" s="1"/>
      <c r="K740" s="1"/>
      <c r="L740" s="1"/>
      <c r="M740" s="1"/>
    </row>
    <row r="741" spans="1:13" hidden="1" x14ac:dyDescent="0.25">
      <c r="A741" s="1"/>
      <c r="B741" s="16" t="s">
        <v>781</v>
      </c>
      <c r="C741" s="15" t="s">
        <v>1490</v>
      </c>
      <c r="D741" s="15" t="s">
        <v>1491</v>
      </c>
      <c r="E741" s="16" t="s">
        <v>18</v>
      </c>
      <c r="F741" s="17"/>
      <c r="G741" cm="1">
        <f t="array" ref="G741">IFERROR(_xlfn.XLOOKUP(Pedido891011121412131617181921192223[[#This Row],[Id de Producto]],[1]!Precios[[#All],[Id de Producto]],[1]!Precios[[#All],[Coste estándar]])*Pedido891011121412131617181921192223[[#This Row],[Pedido]],0)</f>
        <v>0</v>
      </c>
      <c r="H741" s="18">
        <v>0</v>
      </c>
      <c r="I741" s="15" t="s">
        <v>781</v>
      </c>
      <c r="J741" s="1"/>
      <c r="K741" s="1"/>
      <c r="L741" s="1"/>
      <c r="M741" s="1"/>
    </row>
    <row r="742" spans="1:13" hidden="1" x14ac:dyDescent="0.25">
      <c r="A742" s="1"/>
      <c r="B742" s="16" t="s">
        <v>781</v>
      </c>
      <c r="C742" s="15" t="s">
        <v>1492</v>
      </c>
      <c r="D742" s="15" t="s">
        <v>1493</v>
      </c>
      <c r="E742" s="16" t="s">
        <v>18</v>
      </c>
      <c r="F742" s="17"/>
      <c r="G742" cm="1">
        <f t="array" ref="G742">IFERROR(_xlfn.XLOOKUP(Pedido891011121412131617181921192223[[#This Row],[Id de Producto]],[1]!Precios[[#All],[Id de Producto]],[1]!Precios[[#All],[Coste estándar]])*Pedido891011121412131617181921192223[[#This Row],[Pedido]],0)</f>
        <v>0</v>
      </c>
      <c r="H742" s="18">
        <v>0</v>
      </c>
      <c r="I742" s="15" t="s">
        <v>781</v>
      </c>
      <c r="J742" s="1"/>
      <c r="K742" s="1"/>
      <c r="L742" s="1"/>
      <c r="M742" s="1"/>
    </row>
    <row r="743" spans="1:13" hidden="1" x14ac:dyDescent="0.25">
      <c r="A743" s="1"/>
      <c r="B743" s="15" t="s">
        <v>781</v>
      </c>
      <c r="C743" s="15" t="s">
        <v>1494</v>
      </c>
      <c r="D743" s="15" t="s">
        <v>1495</v>
      </c>
      <c r="E743" s="16" t="s">
        <v>26</v>
      </c>
      <c r="F743" s="17"/>
      <c r="G743" cm="1">
        <f t="array" ref="G743">IFERROR(_xlfn.XLOOKUP(Pedido891011121412131617181921192223[[#This Row],[Id de Producto]],[1]!Precios[[#All],[Id de Producto]],[1]!Precios[[#All],[Coste estándar]])*Pedido891011121412131617181921192223[[#This Row],[Pedido]],0)</f>
        <v>0</v>
      </c>
      <c r="H743" s="15">
        <v>0</v>
      </c>
      <c r="I743" s="15" t="s">
        <v>781</v>
      </c>
      <c r="J743" s="1"/>
      <c r="K743" s="1"/>
      <c r="L743" s="1"/>
      <c r="M743" s="1"/>
    </row>
    <row r="744" spans="1:13" hidden="1" x14ac:dyDescent="0.25">
      <c r="A744" s="1"/>
      <c r="B744" s="16" t="s">
        <v>781</v>
      </c>
      <c r="C744" s="15" t="s">
        <v>1496</v>
      </c>
      <c r="D744" s="15" t="s">
        <v>1497</v>
      </c>
      <c r="E744" s="16" t="s">
        <v>22</v>
      </c>
      <c r="F744" s="17"/>
      <c r="G744" cm="1">
        <f t="array" ref="G744">IFERROR(_xlfn.XLOOKUP(Pedido891011121412131617181921192223[[#This Row],[Id de Producto]],[1]!Precios[[#All],[Id de Producto]],[1]!Precios[[#All],[Coste estándar]])*Pedido891011121412131617181921192223[[#This Row],[Pedido]],0)</f>
        <v>0</v>
      </c>
      <c r="H744" s="18">
        <v>0</v>
      </c>
      <c r="I744" s="15" t="s">
        <v>781</v>
      </c>
      <c r="J744" s="1"/>
      <c r="K744" s="1"/>
      <c r="L744" s="1"/>
      <c r="M744" s="1"/>
    </row>
    <row r="745" spans="1:13" hidden="1" x14ac:dyDescent="0.25">
      <c r="A745" s="1"/>
      <c r="B745" s="15" t="s">
        <v>781</v>
      </c>
      <c r="C745" s="15" t="s">
        <v>1498</v>
      </c>
      <c r="D745" s="15" t="s">
        <v>1499</v>
      </c>
      <c r="E745" s="16" t="s">
        <v>26</v>
      </c>
      <c r="F745" s="17"/>
      <c r="G745" cm="1">
        <f t="array" ref="G745">IFERROR(_xlfn.XLOOKUP(Pedido891011121412131617181921192223[[#This Row],[Id de Producto]],[1]!Precios[[#All],[Id de Producto]],[1]!Precios[[#All],[Coste estándar]])*Pedido891011121412131617181921192223[[#This Row],[Pedido]],0)</f>
        <v>0</v>
      </c>
      <c r="H745" s="18">
        <v>0</v>
      </c>
      <c r="I745" s="15" t="s">
        <v>781</v>
      </c>
      <c r="J745" s="1"/>
      <c r="K745" s="1"/>
      <c r="L745" s="1"/>
      <c r="M745" s="1"/>
    </row>
    <row r="746" spans="1:13" hidden="1" x14ac:dyDescent="0.25">
      <c r="A746" s="1"/>
      <c r="B746" s="15" t="s">
        <v>781</v>
      </c>
      <c r="C746" s="15" t="s">
        <v>1500</v>
      </c>
      <c r="D746" s="15" t="s">
        <v>1501</v>
      </c>
      <c r="E746" s="15" t="s">
        <v>26</v>
      </c>
      <c r="F746" s="17"/>
      <c r="G746" cm="1">
        <f t="array" ref="G746">IFERROR(_xlfn.XLOOKUP(Pedido891011121412131617181921192223[[#This Row],[Id de Producto]],[1]!Precios[[#All],[Id de Producto]],[1]!Precios[[#All],[Coste estándar]])*Pedido891011121412131617181921192223[[#This Row],[Pedido]],0)</f>
        <v>0</v>
      </c>
      <c r="H746" s="18">
        <v>0</v>
      </c>
      <c r="I746" s="15" t="s">
        <v>781</v>
      </c>
      <c r="J746" s="1"/>
      <c r="K746" s="1"/>
      <c r="L746" s="1"/>
      <c r="M746" s="1"/>
    </row>
    <row r="747" spans="1:13" hidden="1" x14ac:dyDescent="0.25">
      <c r="A747" s="1"/>
      <c r="B747" s="16" t="s">
        <v>781</v>
      </c>
      <c r="C747" s="15" t="s">
        <v>1502</v>
      </c>
      <c r="D747" s="16" t="s">
        <v>1503</v>
      </c>
      <c r="E747" s="16" t="s">
        <v>26</v>
      </c>
      <c r="F747" s="17"/>
      <c r="G747" cm="1">
        <f t="array" ref="G747">IFERROR(_xlfn.XLOOKUP(Pedido891011121412131617181921192223[[#This Row],[Id de Producto]],[1]!Precios[[#All],[Id de Producto]],[1]!Precios[[#All],[Coste estándar]])*Pedido891011121412131617181921192223[[#This Row],[Pedido]],0)</f>
        <v>0</v>
      </c>
      <c r="H747" s="18">
        <v>0</v>
      </c>
      <c r="I747" s="15" t="s">
        <v>781</v>
      </c>
      <c r="J747" s="1"/>
      <c r="K747" s="1"/>
      <c r="L747" s="1"/>
      <c r="M747" s="1"/>
    </row>
    <row r="748" spans="1:13" hidden="1" x14ac:dyDescent="0.25">
      <c r="A748" s="1"/>
      <c r="B748" s="15" t="s">
        <v>781</v>
      </c>
      <c r="C748" s="15" t="s">
        <v>1504</v>
      </c>
      <c r="D748" s="15" t="s">
        <v>1505</v>
      </c>
      <c r="E748" s="16" t="s">
        <v>26</v>
      </c>
      <c r="F748" s="17"/>
      <c r="G748" cm="1">
        <f t="array" ref="G748">IFERROR(_xlfn.XLOOKUP(Pedido891011121412131617181921192223[[#This Row],[Id de Producto]],[1]!Precios[[#All],[Id de Producto]],[1]!Precios[[#All],[Coste estándar]])*Pedido891011121412131617181921192223[[#This Row],[Pedido]],0)</f>
        <v>0</v>
      </c>
      <c r="H748" s="18">
        <v>0</v>
      </c>
      <c r="I748" s="15" t="s">
        <v>781</v>
      </c>
      <c r="J748" s="1"/>
      <c r="K748" s="1"/>
      <c r="L748" s="1"/>
      <c r="M748" s="1"/>
    </row>
    <row r="749" spans="1:13" hidden="1" x14ac:dyDescent="0.25">
      <c r="A749" s="1"/>
      <c r="B749" s="15" t="s">
        <v>781</v>
      </c>
      <c r="C749" s="15" t="s">
        <v>1506</v>
      </c>
      <c r="D749" s="15" t="s">
        <v>1507</v>
      </c>
      <c r="E749" s="16" t="s">
        <v>22</v>
      </c>
      <c r="F749" s="17"/>
      <c r="G749" cm="1">
        <f t="array" ref="G749">IFERROR(_xlfn.XLOOKUP(Pedido891011121412131617181921192223[[#This Row],[Id de Producto]],[1]!Precios[[#All],[Id de Producto]],[1]!Precios[[#All],[Coste estándar]])*Pedido891011121412131617181921192223[[#This Row],[Pedido]],0)</f>
        <v>0</v>
      </c>
      <c r="H749" s="18">
        <v>0</v>
      </c>
      <c r="I749" s="15" t="s">
        <v>781</v>
      </c>
      <c r="J749" s="1"/>
      <c r="K749" s="1"/>
      <c r="L749" s="1"/>
      <c r="M749" s="1"/>
    </row>
    <row r="750" spans="1:13" hidden="1" x14ac:dyDescent="0.25">
      <c r="A750" s="1"/>
      <c r="B750" s="15" t="s">
        <v>781</v>
      </c>
      <c r="C750" s="15" t="s">
        <v>1508</v>
      </c>
      <c r="D750" s="15" t="s">
        <v>1509</v>
      </c>
      <c r="E750" s="16" t="s">
        <v>26</v>
      </c>
      <c r="F750" s="17"/>
      <c r="G750" cm="1">
        <f t="array" ref="G750">IFERROR(_xlfn.XLOOKUP(Pedido891011121412131617181921192223[[#This Row],[Id de Producto]],[1]!Precios[[#All],[Id de Producto]],[1]!Precios[[#All],[Coste estándar]])*Pedido891011121412131617181921192223[[#This Row],[Pedido]],0)</f>
        <v>0</v>
      </c>
      <c r="H750" s="18">
        <v>0</v>
      </c>
      <c r="I750" s="15" t="s">
        <v>781</v>
      </c>
      <c r="J750" s="1"/>
      <c r="K750" s="1"/>
      <c r="L750" s="1"/>
      <c r="M750" s="1"/>
    </row>
    <row r="751" spans="1:13" hidden="1" x14ac:dyDescent="0.25">
      <c r="A751" s="1"/>
      <c r="B751" s="15" t="s">
        <v>781</v>
      </c>
      <c r="C751" s="15" t="s">
        <v>1510</v>
      </c>
      <c r="D751" s="15" t="s">
        <v>1511</v>
      </c>
      <c r="E751" s="15" t="s">
        <v>26</v>
      </c>
      <c r="F751" s="17"/>
      <c r="G751" cm="1">
        <f t="array" ref="G751">IFERROR(_xlfn.XLOOKUP(Pedido891011121412131617181921192223[[#This Row],[Id de Producto]],[1]!Precios[[#All],[Id de Producto]],[1]!Precios[[#All],[Coste estándar]])*Pedido891011121412131617181921192223[[#This Row],[Pedido]],0)</f>
        <v>0</v>
      </c>
      <c r="H751" s="18">
        <v>0</v>
      </c>
      <c r="I751" s="15" t="s">
        <v>781</v>
      </c>
      <c r="J751" s="1"/>
      <c r="K751" s="1"/>
      <c r="L751" s="1"/>
      <c r="M751" s="1"/>
    </row>
    <row r="752" spans="1:13" hidden="1" x14ac:dyDescent="0.25">
      <c r="A752" s="1"/>
      <c r="B752" s="16" t="s">
        <v>781</v>
      </c>
      <c r="C752" s="15" t="s">
        <v>1512</v>
      </c>
      <c r="D752" s="15" t="s">
        <v>1513</v>
      </c>
      <c r="E752" s="16" t="s">
        <v>26</v>
      </c>
      <c r="F752" s="17"/>
      <c r="G752" cm="1">
        <f t="array" ref="G752">IFERROR(_xlfn.XLOOKUP(Pedido891011121412131617181921192223[[#This Row],[Id de Producto]],[1]!Precios[[#All],[Id de Producto]],[1]!Precios[[#All],[Coste estándar]])*Pedido891011121412131617181921192223[[#This Row],[Pedido]],0)</f>
        <v>0</v>
      </c>
      <c r="H752" s="18">
        <v>0</v>
      </c>
      <c r="I752" s="15" t="s">
        <v>781</v>
      </c>
      <c r="J752" s="1"/>
      <c r="K752" s="1"/>
      <c r="L752" s="1"/>
      <c r="M752" s="1"/>
    </row>
    <row r="753" spans="1:13" hidden="1" x14ac:dyDescent="0.25">
      <c r="A753" s="1"/>
      <c r="B753" s="16" t="s">
        <v>781</v>
      </c>
      <c r="C753" s="15" t="s">
        <v>1514</v>
      </c>
      <c r="D753" s="15" t="s">
        <v>1515</v>
      </c>
      <c r="E753" s="16" t="s">
        <v>22</v>
      </c>
      <c r="F753" s="17"/>
      <c r="G753" cm="1">
        <f t="array" ref="G753">IFERROR(_xlfn.XLOOKUP(Pedido891011121412131617181921192223[[#This Row],[Id de Producto]],[1]!Precios[[#All],[Id de Producto]],[1]!Precios[[#All],[Coste estándar]])*Pedido891011121412131617181921192223[[#This Row],[Pedido]],0)</f>
        <v>0</v>
      </c>
      <c r="H753" s="18">
        <v>0</v>
      </c>
      <c r="I753" s="15" t="s">
        <v>781</v>
      </c>
      <c r="J753" s="1"/>
      <c r="K753" s="1"/>
      <c r="L753" s="1"/>
      <c r="M753" s="1"/>
    </row>
    <row r="754" spans="1:13" hidden="1" x14ac:dyDescent="0.25">
      <c r="A754" s="1"/>
      <c r="B754" s="16" t="s">
        <v>781</v>
      </c>
      <c r="C754" s="15" t="s">
        <v>1516</v>
      </c>
      <c r="D754" s="15" t="s">
        <v>1517</v>
      </c>
      <c r="E754" s="16" t="s">
        <v>18</v>
      </c>
      <c r="F754" s="17"/>
      <c r="G754" cm="1">
        <f t="array" ref="G754">IFERROR(_xlfn.XLOOKUP(Pedido891011121412131617181921192223[[#This Row],[Id de Producto]],[1]!Precios[[#All],[Id de Producto]],[1]!Precios[[#All],[Coste estándar]])*Pedido891011121412131617181921192223[[#This Row],[Pedido]],0)</f>
        <v>0</v>
      </c>
      <c r="H754" s="18">
        <v>0</v>
      </c>
      <c r="I754" s="15" t="s">
        <v>781</v>
      </c>
      <c r="J754" s="1"/>
      <c r="K754" s="1"/>
      <c r="L754" s="1"/>
      <c r="M754" s="1"/>
    </row>
    <row r="755" spans="1:13" hidden="1" x14ac:dyDescent="0.25">
      <c r="A755" s="1"/>
      <c r="B755" s="15" t="s">
        <v>781</v>
      </c>
      <c r="C755" s="15" t="s">
        <v>1518</v>
      </c>
      <c r="D755" s="15" t="s">
        <v>1519</v>
      </c>
      <c r="E755" s="16" t="s">
        <v>26</v>
      </c>
      <c r="F755" s="17"/>
      <c r="G755" cm="1">
        <f t="array" ref="G755">IFERROR(_xlfn.XLOOKUP(Pedido891011121412131617181921192223[[#This Row],[Id de Producto]],[1]!Precios[[#All],[Id de Producto]],[1]!Precios[[#All],[Coste estándar]])*Pedido891011121412131617181921192223[[#This Row],[Pedido]],0)</f>
        <v>0</v>
      </c>
      <c r="H755" s="15">
        <v>0</v>
      </c>
      <c r="I755" s="15" t="s">
        <v>781</v>
      </c>
      <c r="J755" s="1"/>
      <c r="K755" s="1"/>
      <c r="L755" s="1"/>
      <c r="M755" s="1"/>
    </row>
    <row r="756" spans="1:13" hidden="1" x14ac:dyDescent="0.25">
      <c r="A756" s="1"/>
      <c r="B756" s="16" t="s">
        <v>781</v>
      </c>
      <c r="C756" s="15" t="s">
        <v>1520</v>
      </c>
      <c r="D756" s="15" t="s">
        <v>1521</v>
      </c>
      <c r="E756" s="16" t="s">
        <v>18</v>
      </c>
      <c r="F756" s="17"/>
      <c r="G756" cm="1">
        <f t="array" ref="G756">IFERROR(_xlfn.XLOOKUP(Pedido891011121412131617181921192223[[#This Row],[Id de Producto]],[1]!Precios[[#All],[Id de Producto]],[1]!Precios[[#All],[Coste estándar]])*Pedido891011121412131617181921192223[[#This Row],[Pedido]],0)</f>
        <v>0</v>
      </c>
      <c r="H756" s="18">
        <v>0</v>
      </c>
      <c r="I756" s="15" t="s">
        <v>781</v>
      </c>
      <c r="J756" s="1"/>
      <c r="K756" s="1"/>
      <c r="L756" s="1"/>
      <c r="M756" s="1"/>
    </row>
    <row r="757" spans="1:13" hidden="1" x14ac:dyDescent="0.25">
      <c r="A757" s="1"/>
      <c r="B757" s="16" t="s">
        <v>781</v>
      </c>
      <c r="C757" s="15" t="s">
        <v>1522</v>
      </c>
      <c r="D757" s="15" t="s">
        <v>1523</v>
      </c>
      <c r="E757" s="16" t="s">
        <v>26</v>
      </c>
      <c r="F757" s="17"/>
      <c r="G757" cm="1">
        <f t="array" ref="G757">IFERROR(_xlfn.XLOOKUP(Pedido891011121412131617181921192223[[#This Row],[Id de Producto]],[1]!Precios[[#All],[Id de Producto]],[1]!Precios[[#All],[Coste estándar]])*Pedido891011121412131617181921192223[[#This Row],[Pedido]],0)</f>
        <v>0</v>
      </c>
      <c r="H757" s="18">
        <v>0</v>
      </c>
      <c r="I757" s="15" t="s">
        <v>781</v>
      </c>
      <c r="J757" s="1"/>
      <c r="K757" s="1"/>
      <c r="L757" s="1"/>
      <c r="M757" s="1"/>
    </row>
    <row r="758" spans="1:13" hidden="1" x14ac:dyDescent="0.25">
      <c r="A758" s="1"/>
      <c r="B758" s="16" t="s">
        <v>781</v>
      </c>
      <c r="C758" s="15" t="s">
        <v>1524</v>
      </c>
      <c r="D758" s="15" t="s">
        <v>1525</v>
      </c>
      <c r="E758" s="16" t="s">
        <v>26</v>
      </c>
      <c r="F758" s="17"/>
      <c r="G758" cm="1">
        <f t="array" ref="G758">IFERROR(_xlfn.XLOOKUP(Pedido891011121412131617181921192223[[#This Row],[Id de Producto]],[1]!Precios[[#All],[Id de Producto]],[1]!Precios[[#All],[Coste estándar]])*Pedido891011121412131617181921192223[[#This Row],[Pedido]],0)</f>
        <v>0</v>
      </c>
      <c r="H758" s="18">
        <v>0</v>
      </c>
      <c r="I758" s="15" t="s">
        <v>781</v>
      </c>
      <c r="J758" s="1"/>
      <c r="K758" s="1"/>
      <c r="L758" s="1"/>
      <c r="M758" s="1"/>
    </row>
    <row r="759" spans="1:13" hidden="1" x14ac:dyDescent="0.25">
      <c r="A759" s="1"/>
      <c r="B759" s="16" t="s">
        <v>781</v>
      </c>
      <c r="C759" s="15" t="s">
        <v>1526</v>
      </c>
      <c r="D759" s="15" t="s">
        <v>1527</v>
      </c>
      <c r="E759" s="16" t="s">
        <v>18</v>
      </c>
      <c r="F759" s="17"/>
      <c r="G759" cm="1">
        <f t="array" ref="G759">IFERROR(_xlfn.XLOOKUP(Pedido891011121412131617181921192223[[#This Row],[Id de Producto]],[1]!Precios[[#All],[Id de Producto]],[1]!Precios[[#All],[Coste estándar]])*Pedido891011121412131617181921192223[[#This Row],[Pedido]],0)</f>
        <v>0</v>
      </c>
      <c r="H759" s="18">
        <v>0</v>
      </c>
      <c r="I759" s="15" t="s">
        <v>781</v>
      </c>
      <c r="J759" s="1"/>
      <c r="K759" s="1"/>
      <c r="L759" s="1"/>
      <c r="M759" s="1"/>
    </row>
    <row r="760" spans="1:13" hidden="1" x14ac:dyDescent="0.25">
      <c r="A760" s="1"/>
      <c r="B760" s="15" t="s">
        <v>781</v>
      </c>
      <c r="C760" s="15" t="s">
        <v>1528</v>
      </c>
      <c r="D760" s="15" t="s">
        <v>1529</v>
      </c>
      <c r="E760" s="16" t="s">
        <v>18</v>
      </c>
      <c r="F760" s="17"/>
      <c r="G760" cm="1">
        <f t="array" ref="G760">IFERROR(_xlfn.XLOOKUP(Pedido891011121412131617181921192223[[#This Row],[Id de Producto]],[1]!Precios[[#All],[Id de Producto]],[1]!Precios[[#All],[Coste estándar]])*Pedido891011121412131617181921192223[[#This Row],[Pedido]],0)</f>
        <v>0</v>
      </c>
      <c r="H760" s="18">
        <v>0</v>
      </c>
      <c r="I760" s="15" t="s">
        <v>781</v>
      </c>
      <c r="J760" s="1"/>
      <c r="K760" s="1"/>
      <c r="L760" s="1"/>
      <c r="M760" s="1"/>
    </row>
    <row r="761" spans="1:13" hidden="1" x14ac:dyDescent="0.25">
      <c r="A761" s="1"/>
      <c r="B761" s="16" t="s">
        <v>781</v>
      </c>
      <c r="C761" s="15" t="s">
        <v>1530</v>
      </c>
      <c r="D761" s="15" t="s">
        <v>1531</v>
      </c>
      <c r="E761" s="16" t="s">
        <v>26</v>
      </c>
      <c r="F761" s="17"/>
      <c r="G761" cm="1">
        <f t="array" ref="G761">IFERROR(_xlfn.XLOOKUP(Pedido891011121412131617181921192223[[#This Row],[Id de Producto]],[1]!Precios[[#All],[Id de Producto]],[1]!Precios[[#All],[Coste estándar]])*Pedido891011121412131617181921192223[[#This Row],[Pedido]],0)</f>
        <v>0</v>
      </c>
      <c r="H761" s="18">
        <v>0</v>
      </c>
      <c r="I761" s="15" t="s">
        <v>781</v>
      </c>
      <c r="J761" s="1"/>
      <c r="K761" s="1"/>
      <c r="L761" s="1"/>
      <c r="M761" s="1"/>
    </row>
    <row r="762" spans="1:13" hidden="1" x14ac:dyDescent="0.25">
      <c r="A762" s="1"/>
      <c r="B762" s="16" t="s">
        <v>781</v>
      </c>
      <c r="C762" s="15" t="s">
        <v>1532</v>
      </c>
      <c r="D762" s="15" t="s">
        <v>1533</v>
      </c>
      <c r="E762" s="16" t="s">
        <v>26</v>
      </c>
      <c r="F762" s="17"/>
      <c r="G762" cm="1">
        <f t="array" ref="G762">IFERROR(_xlfn.XLOOKUP(Pedido891011121412131617181921192223[[#This Row],[Id de Producto]],[1]!Precios[[#All],[Id de Producto]],[1]!Precios[[#All],[Coste estándar]])*Pedido891011121412131617181921192223[[#This Row],[Pedido]],0)</f>
        <v>0</v>
      </c>
      <c r="H762" s="18">
        <v>0</v>
      </c>
      <c r="I762" s="15" t="s">
        <v>781</v>
      </c>
      <c r="J762" s="1"/>
      <c r="K762" s="1"/>
      <c r="L762" s="1"/>
      <c r="M762" s="1"/>
    </row>
    <row r="763" spans="1:13" hidden="1" x14ac:dyDescent="0.25">
      <c r="A763" s="1"/>
      <c r="B763" s="15" t="s">
        <v>781</v>
      </c>
      <c r="C763" s="15" t="s">
        <v>1534</v>
      </c>
      <c r="D763" s="15" t="s">
        <v>1535</v>
      </c>
      <c r="E763" s="16" t="s">
        <v>22</v>
      </c>
      <c r="F763" s="17"/>
      <c r="G763" cm="1">
        <f t="array" ref="G763">IFERROR(_xlfn.XLOOKUP(Pedido891011121412131617181921192223[[#This Row],[Id de Producto]],[1]!Precios[[#All],[Id de Producto]],[1]!Precios[[#All],[Coste estándar]])*Pedido891011121412131617181921192223[[#This Row],[Pedido]],0)</f>
        <v>0</v>
      </c>
      <c r="H763" s="18">
        <v>0</v>
      </c>
      <c r="I763" s="15" t="s">
        <v>781</v>
      </c>
      <c r="J763" s="1"/>
      <c r="K763" s="1"/>
      <c r="L763" s="1"/>
      <c r="M763" s="1"/>
    </row>
    <row r="764" spans="1:13" hidden="1" x14ac:dyDescent="0.25">
      <c r="A764" s="1"/>
      <c r="B764" s="15" t="s">
        <v>781</v>
      </c>
      <c r="C764" s="15" t="s">
        <v>1536</v>
      </c>
      <c r="D764" s="15" t="s">
        <v>1537</v>
      </c>
      <c r="E764" s="16" t="s">
        <v>18</v>
      </c>
      <c r="F764" s="17"/>
      <c r="G764" cm="1">
        <f t="array" ref="G764">IFERROR(_xlfn.XLOOKUP(Pedido891011121412131617181921192223[[#This Row],[Id de Producto]],[1]!Precios[[#All],[Id de Producto]],[1]!Precios[[#All],[Coste estándar]])*Pedido891011121412131617181921192223[[#This Row],[Pedido]],0)</f>
        <v>0</v>
      </c>
      <c r="H764" s="18">
        <v>0</v>
      </c>
      <c r="I764" s="15" t="s">
        <v>781</v>
      </c>
      <c r="J764" s="1"/>
      <c r="K764" s="1"/>
      <c r="L764" s="1"/>
      <c r="M764" s="1"/>
    </row>
    <row r="765" spans="1:13" hidden="1" x14ac:dyDescent="0.25">
      <c r="A765" s="1"/>
      <c r="B765" s="15" t="s">
        <v>781</v>
      </c>
      <c r="C765" s="15" t="s">
        <v>1538</v>
      </c>
      <c r="D765" s="15" t="s">
        <v>1539</v>
      </c>
      <c r="E765" s="16" t="s">
        <v>120</v>
      </c>
      <c r="F765" s="17"/>
      <c r="G765" cm="1">
        <f t="array" ref="G765">IFERROR(_xlfn.XLOOKUP(Pedido891011121412131617181921192223[[#This Row],[Id de Producto]],[1]!Precios[[#All],[Id de Producto]],[1]!Precios[[#All],[Coste estándar]])*Pedido891011121412131617181921192223[[#This Row],[Pedido]],0)</f>
        <v>0</v>
      </c>
      <c r="H765" s="15">
        <v>0</v>
      </c>
      <c r="I765" s="15" t="s">
        <v>781</v>
      </c>
      <c r="J765" s="1"/>
      <c r="K765" s="1"/>
      <c r="L765" s="1"/>
      <c r="M765" s="1"/>
    </row>
    <row r="766" spans="1:13" hidden="1" x14ac:dyDescent="0.25">
      <c r="A766" s="1"/>
      <c r="B766" s="16" t="s">
        <v>781</v>
      </c>
      <c r="C766" s="15" t="s">
        <v>1540</v>
      </c>
      <c r="D766" s="15" t="s">
        <v>1541</v>
      </c>
      <c r="E766" s="16" t="s">
        <v>120</v>
      </c>
      <c r="F766" s="17"/>
      <c r="G766" cm="1">
        <f t="array" ref="G766">IFERROR(_xlfn.XLOOKUP(Pedido891011121412131617181921192223[[#This Row],[Id de Producto]],[1]!Precios[[#All],[Id de Producto]],[1]!Precios[[#All],[Coste estándar]])*Pedido891011121412131617181921192223[[#This Row],[Pedido]],0)</f>
        <v>0</v>
      </c>
      <c r="H766" s="18">
        <v>0</v>
      </c>
      <c r="I766" s="15" t="s">
        <v>781</v>
      </c>
      <c r="J766" s="1"/>
      <c r="K766" s="1"/>
      <c r="L766" s="1"/>
      <c r="M766" s="1"/>
    </row>
    <row r="767" spans="1:13" hidden="1" x14ac:dyDescent="0.25">
      <c r="A767" s="1"/>
      <c r="B767" s="16" t="s">
        <v>781</v>
      </c>
      <c r="C767" s="15" t="s">
        <v>1542</v>
      </c>
      <c r="D767" s="15" t="s">
        <v>1543</v>
      </c>
      <c r="E767" s="16" t="s">
        <v>26</v>
      </c>
      <c r="F767" s="17"/>
      <c r="G767" cm="1">
        <f t="array" ref="G767">IFERROR(_xlfn.XLOOKUP(Pedido891011121412131617181921192223[[#This Row],[Id de Producto]],[1]!Precios[[#All],[Id de Producto]],[1]!Precios[[#All],[Coste estándar]])*Pedido891011121412131617181921192223[[#This Row],[Pedido]],0)</f>
        <v>0</v>
      </c>
      <c r="H767" s="18">
        <v>0</v>
      </c>
      <c r="I767" s="15" t="s">
        <v>781</v>
      </c>
      <c r="J767" s="1"/>
      <c r="K767" s="1"/>
      <c r="L767" s="1"/>
      <c r="M767" s="1"/>
    </row>
    <row r="768" spans="1:13" hidden="1" x14ac:dyDescent="0.25">
      <c r="A768" s="1"/>
      <c r="B768" s="15" t="s">
        <v>781</v>
      </c>
      <c r="C768" s="15" t="s">
        <v>1544</v>
      </c>
      <c r="D768" s="15" t="s">
        <v>1545</v>
      </c>
      <c r="E768" s="16" t="s">
        <v>22</v>
      </c>
      <c r="F768" s="17"/>
      <c r="G768" cm="1">
        <f t="array" ref="G768">IFERROR(_xlfn.XLOOKUP(Pedido891011121412131617181921192223[[#This Row],[Id de Producto]],[1]!Precios[[#All],[Id de Producto]],[1]!Precios[[#All],[Coste estándar]])*Pedido891011121412131617181921192223[[#This Row],[Pedido]],0)</f>
        <v>0</v>
      </c>
      <c r="H768" s="15">
        <v>0</v>
      </c>
      <c r="I768" s="15" t="s">
        <v>781</v>
      </c>
      <c r="J768" s="1"/>
      <c r="K768" s="1"/>
      <c r="L768" s="1"/>
      <c r="M768" s="1"/>
    </row>
    <row r="769" spans="1:13" hidden="1" x14ac:dyDescent="0.25">
      <c r="A769" s="1"/>
      <c r="B769" s="16" t="s">
        <v>781</v>
      </c>
      <c r="C769" s="15" t="s">
        <v>1546</v>
      </c>
      <c r="D769" s="15" t="s">
        <v>1547</v>
      </c>
      <c r="E769" s="16" t="s">
        <v>26</v>
      </c>
      <c r="F769" s="17"/>
      <c r="G769" cm="1">
        <f t="array" ref="G769">IFERROR(_xlfn.XLOOKUP(Pedido891011121412131617181921192223[[#This Row],[Id de Producto]],[1]!Precios[[#All],[Id de Producto]],[1]!Precios[[#All],[Coste estándar]])*Pedido891011121412131617181921192223[[#This Row],[Pedido]],0)</f>
        <v>0</v>
      </c>
      <c r="H769" s="18">
        <v>0</v>
      </c>
      <c r="I769" s="15" t="s">
        <v>781</v>
      </c>
      <c r="J769" s="1"/>
      <c r="K769" s="1"/>
      <c r="L769" s="1"/>
      <c r="M769" s="1"/>
    </row>
    <row r="770" spans="1:13" hidden="1" x14ac:dyDescent="0.25">
      <c r="A770" s="1"/>
      <c r="B770" s="16" t="s">
        <v>781</v>
      </c>
      <c r="C770" s="15" t="s">
        <v>1548</v>
      </c>
      <c r="D770" s="15" t="s">
        <v>1549</v>
      </c>
      <c r="E770" s="16" t="s">
        <v>120</v>
      </c>
      <c r="F770" s="17"/>
      <c r="G770" cm="1">
        <f t="array" ref="G770">IFERROR(_xlfn.XLOOKUP(Pedido891011121412131617181921192223[[#This Row],[Id de Producto]],[1]!Precios[[#All],[Id de Producto]],[1]!Precios[[#All],[Coste estándar]])*Pedido891011121412131617181921192223[[#This Row],[Pedido]],0)</f>
        <v>0</v>
      </c>
      <c r="H770" s="18">
        <v>0</v>
      </c>
      <c r="I770" s="15" t="s">
        <v>781</v>
      </c>
      <c r="J770" s="1"/>
      <c r="K770" s="1"/>
      <c r="L770" s="1"/>
      <c r="M770" s="1"/>
    </row>
    <row r="771" spans="1:13" hidden="1" x14ac:dyDescent="0.25">
      <c r="A771" s="1"/>
      <c r="B771" s="16" t="s">
        <v>781</v>
      </c>
      <c r="C771" s="15" t="s">
        <v>1550</v>
      </c>
      <c r="D771" s="15" t="s">
        <v>1551</v>
      </c>
      <c r="E771" s="16" t="s">
        <v>26</v>
      </c>
      <c r="F771" s="17"/>
      <c r="G771" cm="1">
        <f t="array" ref="G771">IFERROR(_xlfn.XLOOKUP(Pedido891011121412131617181921192223[[#This Row],[Id de Producto]],[1]!Precios[[#All],[Id de Producto]],[1]!Precios[[#All],[Coste estándar]])*Pedido891011121412131617181921192223[[#This Row],[Pedido]],0)</f>
        <v>0</v>
      </c>
      <c r="H771" s="18">
        <v>0</v>
      </c>
      <c r="I771" s="15" t="s">
        <v>781</v>
      </c>
      <c r="J771" s="1"/>
      <c r="K771" s="1"/>
      <c r="L771" s="1"/>
      <c r="M771" s="1"/>
    </row>
    <row r="772" spans="1:13" hidden="1" x14ac:dyDescent="0.25">
      <c r="A772" s="1"/>
      <c r="B772" s="15" t="s">
        <v>781</v>
      </c>
      <c r="C772" s="15" t="s">
        <v>1552</v>
      </c>
      <c r="D772" s="15" t="s">
        <v>1553</v>
      </c>
      <c r="E772" s="16" t="s">
        <v>18</v>
      </c>
      <c r="F772" s="17"/>
      <c r="G772" cm="1">
        <f t="array" ref="G772">IFERROR(_xlfn.XLOOKUP(Pedido891011121412131617181921192223[[#This Row],[Id de Producto]],[1]!Precios[[#All],[Id de Producto]],[1]!Precios[[#All],[Coste estándar]])*Pedido891011121412131617181921192223[[#This Row],[Pedido]],0)</f>
        <v>0</v>
      </c>
      <c r="H772" s="18">
        <v>0</v>
      </c>
      <c r="I772" s="15" t="s">
        <v>781</v>
      </c>
      <c r="J772" s="1"/>
      <c r="K772" s="1"/>
      <c r="L772" s="1"/>
      <c r="M772" s="1"/>
    </row>
    <row r="773" spans="1:13" hidden="1" x14ac:dyDescent="0.25">
      <c r="A773" s="1"/>
      <c r="B773" s="15" t="s">
        <v>781</v>
      </c>
      <c r="C773" s="15" t="s">
        <v>1554</v>
      </c>
      <c r="D773" s="15" t="s">
        <v>1555</v>
      </c>
      <c r="E773" s="16" t="s">
        <v>26</v>
      </c>
      <c r="F773" s="17"/>
      <c r="G773" cm="1">
        <f t="array" ref="G773">IFERROR(_xlfn.XLOOKUP(Pedido891011121412131617181921192223[[#This Row],[Id de Producto]],[1]!Precios[[#All],[Id de Producto]],[1]!Precios[[#All],[Coste estándar]])*Pedido891011121412131617181921192223[[#This Row],[Pedido]],0)</f>
        <v>0</v>
      </c>
      <c r="H773" s="15">
        <v>0</v>
      </c>
      <c r="I773" s="15" t="s">
        <v>781</v>
      </c>
      <c r="J773" s="1"/>
      <c r="K773" s="1"/>
      <c r="L773" s="1"/>
      <c r="M773" s="1"/>
    </row>
    <row r="774" spans="1:13" hidden="1" x14ac:dyDescent="0.25">
      <c r="A774" s="1"/>
      <c r="B774" s="16" t="s">
        <v>781</v>
      </c>
      <c r="C774" s="15" t="s">
        <v>1556</v>
      </c>
      <c r="D774" s="15" t="s">
        <v>1557</v>
      </c>
      <c r="E774" s="16" t="s">
        <v>26</v>
      </c>
      <c r="F774" s="17"/>
      <c r="G774" cm="1">
        <f t="array" ref="G774">IFERROR(_xlfn.XLOOKUP(Pedido891011121412131617181921192223[[#This Row],[Id de Producto]],[1]!Precios[[#All],[Id de Producto]],[1]!Precios[[#All],[Coste estándar]])*Pedido891011121412131617181921192223[[#This Row],[Pedido]],0)</f>
        <v>0</v>
      </c>
      <c r="H774" s="18">
        <v>0</v>
      </c>
      <c r="I774" s="15" t="s">
        <v>781</v>
      </c>
      <c r="J774" s="1"/>
      <c r="K774" s="1"/>
      <c r="L774" s="1"/>
      <c r="M774" s="1"/>
    </row>
    <row r="775" spans="1:13" hidden="1" x14ac:dyDescent="0.25">
      <c r="A775" s="1"/>
      <c r="B775" s="15" t="s">
        <v>781</v>
      </c>
      <c r="C775" s="15" t="s">
        <v>1558</v>
      </c>
      <c r="D775" s="15" t="s">
        <v>1559</v>
      </c>
      <c r="E775" s="16" t="s">
        <v>22</v>
      </c>
      <c r="F775" s="17"/>
      <c r="G775" cm="1">
        <f t="array" ref="G775">IFERROR(_xlfn.XLOOKUP(Pedido891011121412131617181921192223[[#This Row],[Id de Producto]],[1]!Precios[[#All],[Id de Producto]],[1]!Precios[[#All],[Coste estándar]])*Pedido891011121412131617181921192223[[#This Row],[Pedido]],0)</f>
        <v>0</v>
      </c>
      <c r="H775" s="18">
        <v>0</v>
      </c>
      <c r="I775" s="15" t="s">
        <v>781</v>
      </c>
      <c r="J775" s="1"/>
      <c r="K775" s="1"/>
      <c r="L775" s="1"/>
      <c r="M775" s="1"/>
    </row>
    <row r="776" spans="1:13" hidden="1" x14ac:dyDescent="0.25">
      <c r="A776" s="1"/>
      <c r="B776" s="15" t="s">
        <v>781</v>
      </c>
      <c r="C776" s="15" t="s">
        <v>1560</v>
      </c>
      <c r="D776" s="15" t="s">
        <v>1561</v>
      </c>
      <c r="E776" s="16" t="s">
        <v>22</v>
      </c>
      <c r="F776" s="17"/>
      <c r="G776" cm="1">
        <f t="array" ref="G776">IFERROR(_xlfn.XLOOKUP(Pedido891011121412131617181921192223[[#This Row],[Id de Producto]],[1]!Precios[[#All],[Id de Producto]],[1]!Precios[[#All],[Coste estándar]])*Pedido891011121412131617181921192223[[#This Row],[Pedido]],0)</f>
        <v>0</v>
      </c>
      <c r="H776" s="18">
        <v>0</v>
      </c>
      <c r="I776" s="15" t="s">
        <v>781</v>
      </c>
      <c r="J776" s="1"/>
      <c r="K776" s="1"/>
      <c r="L776" s="1"/>
      <c r="M776" s="1"/>
    </row>
    <row r="777" spans="1:13" hidden="1" x14ac:dyDescent="0.25">
      <c r="A777" s="1"/>
      <c r="B777" s="15" t="s">
        <v>781</v>
      </c>
      <c r="C777" s="15" t="s">
        <v>1562</v>
      </c>
      <c r="D777" s="15" t="s">
        <v>1563</v>
      </c>
      <c r="E777" s="16" t="s">
        <v>22</v>
      </c>
      <c r="F777" s="17"/>
      <c r="G777" cm="1">
        <f t="array" ref="G777">IFERROR(_xlfn.XLOOKUP(Pedido891011121412131617181921192223[[#This Row],[Id de Producto]],[1]!Precios[[#All],[Id de Producto]],[1]!Precios[[#All],[Coste estándar]])*Pedido891011121412131617181921192223[[#This Row],[Pedido]],0)</f>
        <v>0</v>
      </c>
      <c r="H777" s="18">
        <v>0</v>
      </c>
      <c r="I777" s="15" t="s">
        <v>781</v>
      </c>
      <c r="J777" s="1"/>
      <c r="K777" s="1"/>
      <c r="L777" s="1"/>
      <c r="M777" s="1"/>
    </row>
    <row r="778" spans="1:13" hidden="1" x14ac:dyDescent="0.25">
      <c r="A778" s="1"/>
      <c r="B778" s="15" t="s">
        <v>781</v>
      </c>
      <c r="C778" s="15" t="s">
        <v>1564</v>
      </c>
      <c r="D778" s="15" t="s">
        <v>1565</v>
      </c>
      <c r="E778" s="16" t="s">
        <v>22</v>
      </c>
      <c r="F778" s="17"/>
      <c r="G778" cm="1">
        <f t="array" ref="G778">IFERROR(_xlfn.XLOOKUP(Pedido891011121412131617181921192223[[#This Row],[Id de Producto]],[1]!Precios[[#All],[Id de Producto]],[1]!Precios[[#All],[Coste estándar]])*Pedido891011121412131617181921192223[[#This Row],[Pedido]],0)</f>
        <v>0</v>
      </c>
      <c r="H778" s="18">
        <v>0</v>
      </c>
      <c r="I778" s="15" t="s">
        <v>781</v>
      </c>
      <c r="J778" s="1"/>
      <c r="K778" s="1"/>
      <c r="L778" s="1"/>
      <c r="M778" s="1"/>
    </row>
    <row r="779" spans="1:13" hidden="1" x14ac:dyDescent="0.25">
      <c r="A779" s="1"/>
      <c r="B779" s="16" t="s">
        <v>781</v>
      </c>
      <c r="C779" s="15" t="s">
        <v>1566</v>
      </c>
      <c r="D779" s="15" t="s">
        <v>1567</v>
      </c>
      <c r="E779" s="16" t="s">
        <v>18</v>
      </c>
      <c r="F779" s="17"/>
      <c r="G779" cm="1">
        <f t="array" ref="G779">IFERROR(_xlfn.XLOOKUP(Pedido891011121412131617181921192223[[#This Row],[Id de Producto]],[1]!Precios[[#All],[Id de Producto]],[1]!Precios[[#All],[Coste estándar]])*Pedido891011121412131617181921192223[[#This Row],[Pedido]],0)</f>
        <v>0</v>
      </c>
      <c r="H779" s="18">
        <v>0</v>
      </c>
      <c r="I779" s="15" t="s">
        <v>781</v>
      </c>
      <c r="J779" s="1"/>
      <c r="K779" s="1"/>
      <c r="L779" s="1"/>
      <c r="M779" s="1"/>
    </row>
    <row r="780" spans="1:13" hidden="1" x14ac:dyDescent="0.25">
      <c r="A780" s="1"/>
      <c r="B780" s="16" t="s">
        <v>781</v>
      </c>
      <c r="C780" s="15" t="s">
        <v>1568</v>
      </c>
      <c r="D780" s="15" t="s">
        <v>1569</v>
      </c>
      <c r="E780" s="16" t="s">
        <v>18</v>
      </c>
      <c r="F780" s="17"/>
      <c r="G780" cm="1">
        <f t="array" ref="G780">IFERROR(_xlfn.XLOOKUP(Pedido891011121412131617181921192223[[#This Row],[Id de Producto]],[1]!Precios[[#All],[Id de Producto]],[1]!Precios[[#All],[Coste estándar]])*Pedido891011121412131617181921192223[[#This Row],[Pedido]],0)</f>
        <v>0</v>
      </c>
      <c r="H780" s="18">
        <v>0</v>
      </c>
      <c r="I780" s="15" t="s">
        <v>781</v>
      </c>
      <c r="J780" s="1"/>
      <c r="K780" s="1"/>
      <c r="L780" s="1"/>
      <c r="M780" s="1"/>
    </row>
    <row r="781" spans="1:13" hidden="1" x14ac:dyDescent="0.25">
      <c r="A781" s="1"/>
      <c r="B781" s="16" t="s">
        <v>781</v>
      </c>
      <c r="C781" s="15" t="s">
        <v>1570</v>
      </c>
      <c r="D781" s="15" t="s">
        <v>1571</v>
      </c>
      <c r="E781" s="16" t="s">
        <v>18</v>
      </c>
      <c r="F781" s="17"/>
      <c r="G781" cm="1">
        <f t="array" ref="G781">IFERROR(_xlfn.XLOOKUP(Pedido891011121412131617181921192223[[#This Row],[Id de Producto]],[1]!Precios[[#All],[Id de Producto]],[1]!Precios[[#All],[Coste estándar]])*Pedido891011121412131617181921192223[[#This Row],[Pedido]],0)</f>
        <v>0</v>
      </c>
      <c r="H781" s="18">
        <v>0</v>
      </c>
      <c r="I781" s="15" t="s">
        <v>781</v>
      </c>
      <c r="J781" s="1"/>
      <c r="K781" s="1"/>
      <c r="L781" s="1"/>
      <c r="M781" s="1"/>
    </row>
    <row r="782" spans="1:13" hidden="1" x14ac:dyDescent="0.25">
      <c r="A782" s="1"/>
      <c r="B782" s="16" t="s">
        <v>781</v>
      </c>
      <c r="C782" s="15" t="s">
        <v>1572</v>
      </c>
      <c r="D782" s="15" t="s">
        <v>1573</v>
      </c>
      <c r="E782" s="16" t="s">
        <v>22</v>
      </c>
      <c r="F782" s="17"/>
      <c r="G782" cm="1">
        <f t="array" ref="G782">IFERROR(_xlfn.XLOOKUP(Pedido891011121412131617181921192223[[#This Row],[Id de Producto]],[1]!Precios[[#All],[Id de Producto]],[1]!Precios[[#All],[Coste estándar]])*Pedido891011121412131617181921192223[[#This Row],[Pedido]],0)</f>
        <v>0</v>
      </c>
      <c r="H782" s="18">
        <v>0</v>
      </c>
      <c r="I782" s="15" t="s">
        <v>781</v>
      </c>
      <c r="J782" s="1"/>
      <c r="K782" s="1"/>
      <c r="L782" s="1"/>
      <c r="M782" s="1"/>
    </row>
    <row r="783" spans="1:13" hidden="1" x14ac:dyDescent="0.25">
      <c r="A783" s="1"/>
      <c r="B783" s="15" t="s">
        <v>781</v>
      </c>
      <c r="C783" s="15" t="s">
        <v>1574</v>
      </c>
      <c r="D783" s="15" t="s">
        <v>1575</v>
      </c>
      <c r="E783" s="16" t="s">
        <v>26</v>
      </c>
      <c r="F783" s="17"/>
      <c r="G783" cm="1">
        <f t="array" ref="G783">IFERROR(_xlfn.XLOOKUP(Pedido891011121412131617181921192223[[#This Row],[Id de Producto]],[1]!Precios[[#All],[Id de Producto]],[1]!Precios[[#All],[Coste estándar]])*Pedido891011121412131617181921192223[[#This Row],[Pedido]],0)</f>
        <v>0</v>
      </c>
      <c r="H783" s="15">
        <v>0</v>
      </c>
      <c r="I783" s="15" t="s">
        <v>781</v>
      </c>
      <c r="J783" s="1"/>
      <c r="K783" s="1"/>
      <c r="L783" s="1"/>
      <c r="M783" s="1"/>
    </row>
    <row r="784" spans="1:13" hidden="1" x14ac:dyDescent="0.25">
      <c r="A784" s="1"/>
      <c r="B784" s="16" t="s">
        <v>781</v>
      </c>
      <c r="C784" s="15" t="s">
        <v>1576</v>
      </c>
      <c r="D784" s="15" t="s">
        <v>1577</v>
      </c>
      <c r="E784" s="16" t="s">
        <v>26</v>
      </c>
      <c r="F784" s="17"/>
      <c r="G784" cm="1">
        <f t="array" ref="G784">IFERROR(_xlfn.XLOOKUP(Pedido891011121412131617181921192223[[#This Row],[Id de Producto]],[1]!Precios[[#All],[Id de Producto]],[1]!Precios[[#All],[Coste estándar]])*Pedido891011121412131617181921192223[[#This Row],[Pedido]],0)</f>
        <v>0</v>
      </c>
      <c r="H784" s="18">
        <v>0</v>
      </c>
      <c r="I784" s="15" t="s">
        <v>781</v>
      </c>
      <c r="J784" s="1"/>
      <c r="K784" s="1"/>
      <c r="L784" s="1"/>
      <c r="M784" s="1"/>
    </row>
    <row r="785" spans="1:13" hidden="1" x14ac:dyDescent="0.25">
      <c r="A785" s="1"/>
      <c r="B785" s="16" t="s">
        <v>781</v>
      </c>
      <c r="C785" s="15" t="s">
        <v>1578</v>
      </c>
      <c r="D785" s="15" t="s">
        <v>1579</v>
      </c>
      <c r="E785" s="16" t="s">
        <v>22</v>
      </c>
      <c r="F785" s="17"/>
      <c r="G785" cm="1">
        <f t="array" ref="G785">IFERROR(_xlfn.XLOOKUP(Pedido891011121412131617181921192223[[#This Row],[Id de Producto]],[1]!Precios[[#All],[Id de Producto]],[1]!Precios[[#All],[Coste estándar]])*Pedido891011121412131617181921192223[[#This Row],[Pedido]],0)</f>
        <v>0</v>
      </c>
      <c r="H785" s="18">
        <v>0</v>
      </c>
      <c r="I785" s="15" t="s">
        <v>781</v>
      </c>
      <c r="J785" s="1"/>
      <c r="K785" s="1"/>
      <c r="L785" s="1"/>
      <c r="M785" s="1"/>
    </row>
    <row r="786" spans="1:13" hidden="1" x14ac:dyDescent="0.25">
      <c r="A786" s="1"/>
      <c r="B786" s="16" t="s">
        <v>781</v>
      </c>
      <c r="C786" s="15" t="s">
        <v>1580</v>
      </c>
      <c r="D786" s="15" t="s">
        <v>1581</v>
      </c>
      <c r="E786" s="16" t="s">
        <v>22</v>
      </c>
      <c r="F786" s="17"/>
      <c r="G786" cm="1">
        <f t="array" ref="G786">IFERROR(_xlfn.XLOOKUP(Pedido891011121412131617181921192223[[#This Row],[Id de Producto]],[1]!Precios[[#All],[Id de Producto]],[1]!Precios[[#All],[Coste estándar]])*Pedido891011121412131617181921192223[[#This Row],[Pedido]],0)</f>
        <v>0</v>
      </c>
      <c r="H786" s="18">
        <v>0</v>
      </c>
      <c r="I786" s="15" t="s">
        <v>781</v>
      </c>
      <c r="J786" s="1"/>
      <c r="K786" s="1"/>
      <c r="L786" s="1"/>
      <c r="M786" s="1"/>
    </row>
    <row r="787" spans="1:13" hidden="1" x14ac:dyDescent="0.25">
      <c r="A787" s="1"/>
      <c r="B787" s="16" t="s">
        <v>781</v>
      </c>
      <c r="C787" s="15" t="s">
        <v>1582</v>
      </c>
      <c r="D787" s="15" t="s">
        <v>1583</v>
      </c>
      <c r="E787" s="16" t="s">
        <v>22</v>
      </c>
      <c r="F787" s="17"/>
      <c r="G787" cm="1">
        <f t="array" ref="G787">IFERROR(_xlfn.XLOOKUP(Pedido891011121412131617181921192223[[#This Row],[Id de Producto]],[1]!Precios[[#All],[Id de Producto]],[1]!Precios[[#All],[Coste estándar]])*Pedido891011121412131617181921192223[[#This Row],[Pedido]],0)</f>
        <v>0</v>
      </c>
      <c r="H787" s="18">
        <v>0</v>
      </c>
      <c r="I787" s="15" t="s">
        <v>781</v>
      </c>
      <c r="J787" s="1"/>
      <c r="K787" s="1"/>
      <c r="L787" s="1"/>
      <c r="M787" s="1"/>
    </row>
    <row r="788" spans="1:13" hidden="1" x14ac:dyDescent="0.25">
      <c r="A788" s="1"/>
      <c r="B788" s="16" t="s">
        <v>781</v>
      </c>
      <c r="C788" s="15" t="s">
        <v>1584</v>
      </c>
      <c r="D788" s="15" t="s">
        <v>1585</v>
      </c>
      <c r="E788" s="16" t="s">
        <v>26</v>
      </c>
      <c r="F788" s="17"/>
      <c r="G788" cm="1">
        <f t="array" ref="G788">IFERROR(_xlfn.XLOOKUP(Pedido891011121412131617181921192223[[#This Row],[Id de Producto]],[1]!Precios[[#All],[Id de Producto]],[1]!Precios[[#All],[Coste estándar]])*Pedido891011121412131617181921192223[[#This Row],[Pedido]],0)</f>
        <v>0</v>
      </c>
      <c r="H788" s="18">
        <v>0</v>
      </c>
      <c r="I788" s="15" t="s">
        <v>781</v>
      </c>
      <c r="J788" s="1"/>
      <c r="K788" s="1"/>
      <c r="L788" s="1"/>
      <c r="M788" s="1"/>
    </row>
    <row r="789" spans="1:13" hidden="1" x14ac:dyDescent="0.25">
      <c r="A789" s="1"/>
      <c r="B789" s="16" t="s">
        <v>781</v>
      </c>
      <c r="C789" s="15" t="s">
        <v>1586</v>
      </c>
      <c r="D789" s="15" t="s">
        <v>1587</v>
      </c>
      <c r="E789" s="16" t="s">
        <v>26</v>
      </c>
      <c r="F789" s="17"/>
      <c r="G789" cm="1">
        <f t="array" ref="G789">IFERROR(_xlfn.XLOOKUP(Pedido891011121412131617181921192223[[#This Row],[Id de Producto]],[1]!Precios[[#All],[Id de Producto]],[1]!Precios[[#All],[Coste estándar]])*Pedido891011121412131617181921192223[[#This Row],[Pedido]],0)</f>
        <v>0</v>
      </c>
      <c r="H789" s="18">
        <v>0</v>
      </c>
      <c r="I789" s="15" t="s">
        <v>781</v>
      </c>
      <c r="J789" s="1"/>
      <c r="K789" s="1"/>
      <c r="L789" s="1"/>
      <c r="M789" s="1"/>
    </row>
    <row r="790" spans="1:13" hidden="1" x14ac:dyDescent="0.25">
      <c r="A790" s="1"/>
      <c r="B790" s="16" t="s">
        <v>781</v>
      </c>
      <c r="C790" s="15" t="s">
        <v>1588</v>
      </c>
      <c r="D790" s="15" t="s">
        <v>1589</v>
      </c>
      <c r="E790" s="16" t="s">
        <v>22</v>
      </c>
      <c r="F790" s="17"/>
      <c r="G790" cm="1">
        <f t="array" ref="G790">IFERROR(_xlfn.XLOOKUP(Pedido891011121412131617181921192223[[#This Row],[Id de Producto]],[1]!Precios[[#All],[Id de Producto]],[1]!Precios[[#All],[Coste estándar]])*Pedido891011121412131617181921192223[[#This Row],[Pedido]],0)</f>
        <v>0</v>
      </c>
      <c r="H790" s="18">
        <v>0</v>
      </c>
      <c r="I790" s="15" t="s">
        <v>781</v>
      </c>
      <c r="J790" s="1"/>
      <c r="K790" s="1"/>
      <c r="L790" s="1"/>
      <c r="M790" s="1"/>
    </row>
    <row r="791" spans="1:13" hidden="1" x14ac:dyDescent="0.25">
      <c r="A791" s="1"/>
      <c r="B791" s="16" t="s">
        <v>781</v>
      </c>
      <c r="C791" s="15" t="s">
        <v>1590</v>
      </c>
      <c r="D791" s="15" t="s">
        <v>1591</v>
      </c>
      <c r="E791" s="16" t="s">
        <v>26</v>
      </c>
      <c r="F791" s="17"/>
      <c r="G791" cm="1">
        <f t="array" ref="G791">IFERROR(_xlfn.XLOOKUP(Pedido891011121412131617181921192223[[#This Row],[Id de Producto]],[1]!Precios[[#All],[Id de Producto]],[1]!Precios[[#All],[Coste estándar]])*Pedido891011121412131617181921192223[[#This Row],[Pedido]],0)</f>
        <v>0</v>
      </c>
      <c r="H791" s="18">
        <v>0</v>
      </c>
      <c r="I791" s="15" t="s">
        <v>781</v>
      </c>
      <c r="J791" s="1"/>
      <c r="K791" s="1"/>
      <c r="L791" s="1"/>
      <c r="M791" s="1"/>
    </row>
    <row r="792" spans="1:13" hidden="1" x14ac:dyDescent="0.25">
      <c r="A792" s="1"/>
      <c r="B792" s="15" t="s">
        <v>781</v>
      </c>
      <c r="C792" s="15" t="s">
        <v>1592</v>
      </c>
      <c r="D792" s="15" t="s">
        <v>1591</v>
      </c>
      <c r="E792" s="16" t="s">
        <v>26</v>
      </c>
      <c r="F792" s="17"/>
      <c r="G792" cm="1">
        <f t="array" ref="G792">IFERROR(_xlfn.XLOOKUP(Pedido891011121412131617181921192223[[#This Row],[Id de Producto]],[1]!Precios[[#All],[Id de Producto]],[1]!Precios[[#All],[Coste estándar]])*Pedido891011121412131617181921192223[[#This Row],[Pedido]],0)</f>
        <v>0</v>
      </c>
      <c r="H792" s="18">
        <v>0</v>
      </c>
      <c r="I792" s="15" t="s">
        <v>781</v>
      </c>
      <c r="J792" s="1"/>
      <c r="K792" s="1"/>
      <c r="L792" s="1"/>
      <c r="M792" s="1"/>
    </row>
    <row r="793" spans="1:13" hidden="1" x14ac:dyDescent="0.25">
      <c r="A793" s="1"/>
      <c r="B793" s="16" t="s">
        <v>781</v>
      </c>
      <c r="C793" s="15" t="s">
        <v>1593</v>
      </c>
      <c r="D793" s="15" t="s">
        <v>1594</v>
      </c>
      <c r="E793" s="16" t="s">
        <v>18</v>
      </c>
      <c r="F793" s="17"/>
      <c r="G793" cm="1">
        <f t="array" ref="G793">IFERROR(_xlfn.XLOOKUP(Pedido891011121412131617181921192223[[#This Row],[Id de Producto]],[1]!Precios[[#All],[Id de Producto]],[1]!Precios[[#All],[Coste estándar]])*Pedido891011121412131617181921192223[[#This Row],[Pedido]],0)</f>
        <v>0</v>
      </c>
      <c r="H793" s="18">
        <v>0</v>
      </c>
      <c r="I793" s="15" t="s">
        <v>781</v>
      </c>
      <c r="J793" s="1"/>
      <c r="K793" s="1"/>
      <c r="L793" s="1"/>
      <c r="M793" s="1"/>
    </row>
    <row r="794" spans="1:13" hidden="1" x14ac:dyDescent="0.25">
      <c r="A794" s="1"/>
      <c r="B794" s="16" t="s">
        <v>781</v>
      </c>
      <c r="C794" s="15" t="s">
        <v>1595</v>
      </c>
      <c r="D794" s="15" t="s">
        <v>1596</v>
      </c>
      <c r="E794" s="16" t="s">
        <v>26</v>
      </c>
      <c r="F794" s="17"/>
      <c r="G794" cm="1">
        <f t="array" ref="G794">IFERROR(_xlfn.XLOOKUP(Pedido891011121412131617181921192223[[#This Row],[Id de Producto]],[1]!Precios[[#All],[Id de Producto]],[1]!Precios[[#All],[Coste estándar]])*Pedido891011121412131617181921192223[[#This Row],[Pedido]],0)</f>
        <v>0</v>
      </c>
      <c r="H794" s="18">
        <v>0</v>
      </c>
      <c r="I794" s="15" t="s">
        <v>781</v>
      </c>
      <c r="J794" s="1"/>
      <c r="K794" s="1"/>
      <c r="L794" s="1"/>
      <c r="M794" s="1"/>
    </row>
    <row r="795" spans="1:13" hidden="1" x14ac:dyDescent="0.25">
      <c r="A795" s="1"/>
      <c r="B795" s="16" t="s">
        <v>781</v>
      </c>
      <c r="C795" s="15" t="s">
        <v>1597</v>
      </c>
      <c r="D795" s="15" t="s">
        <v>1598</v>
      </c>
      <c r="E795" s="16" t="s">
        <v>26</v>
      </c>
      <c r="F795" s="17"/>
      <c r="G795" cm="1">
        <f t="array" ref="G795">IFERROR(_xlfn.XLOOKUP(Pedido891011121412131617181921192223[[#This Row],[Id de Producto]],[1]!Precios[[#All],[Id de Producto]],[1]!Precios[[#All],[Coste estándar]])*Pedido891011121412131617181921192223[[#This Row],[Pedido]],0)</f>
        <v>0</v>
      </c>
      <c r="H795" s="18">
        <v>0</v>
      </c>
      <c r="I795" s="15" t="s">
        <v>781</v>
      </c>
      <c r="J795" s="1"/>
      <c r="K795" s="1"/>
      <c r="L795" s="1"/>
      <c r="M795" s="1"/>
    </row>
    <row r="796" spans="1:13" hidden="1" x14ac:dyDescent="0.25">
      <c r="A796" s="1"/>
      <c r="B796" s="15" t="s">
        <v>781</v>
      </c>
      <c r="C796" s="15" t="s">
        <v>1599</v>
      </c>
      <c r="D796" s="15" t="s">
        <v>1600</v>
      </c>
      <c r="E796" s="16" t="s">
        <v>26</v>
      </c>
      <c r="F796" s="17"/>
      <c r="G796" cm="1">
        <f t="array" ref="G796">IFERROR(_xlfn.XLOOKUP(Pedido891011121412131617181921192223[[#This Row],[Id de Producto]],[1]!Precios[[#All],[Id de Producto]],[1]!Precios[[#All],[Coste estándar]])*Pedido891011121412131617181921192223[[#This Row],[Pedido]],0)</f>
        <v>0</v>
      </c>
      <c r="H796" s="18">
        <v>0</v>
      </c>
      <c r="I796" s="15" t="s">
        <v>781</v>
      </c>
      <c r="J796" s="1"/>
      <c r="K796" s="1"/>
      <c r="L796" s="1"/>
      <c r="M796" s="1"/>
    </row>
    <row r="797" spans="1:13" hidden="1" x14ac:dyDescent="0.25">
      <c r="A797" s="1"/>
      <c r="B797" s="15" t="s">
        <v>781</v>
      </c>
      <c r="C797" s="15" t="s">
        <v>1601</v>
      </c>
      <c r="D797" s="15" t="s">
        <v>1602</v>
      </c>
      <c r="E797" s="16" t="s">
        <v>18</v>
      </c>
      <c r="F797" s="17"/>
      <c r="G797" cm="1">
        <f t="array" ref="G797">IFERROR(_xlfn.XLOOKUP(Pedido891011121412131617181921192223[[#This Row],[Id de Producto]],[1]!Precios[[#All],[Id de Producto]],[1]!Precios[[#All],[Coste estándar]])*Pedido891011121412131617181921192223[[#This Row],[Pedido]],0)</f>
        <v>0</v>
      </c>
      <c r="H797" s="18">
        <v>0</v>
      </c>
      <c r="I797" s="15" t="s">
        <v>781</v>
      </c>
      <c r="J797" s="1"/>
      <c r="K797" s="1"/>
      <c r="L797" s="1"/>
      <c r="M797" s="1"/>
    </row>
    <row r="798" spans="1:13" hidden="1" x14ac:dyDescent="0.25">
      <c r="A798" s="1"/>
      <c r="B798" s="15" t="s">
        <v>781</v>
      </c>
      <c r="C798" s="15" t="s">
        <v>1603</v>
      </c>
      <c r="D798" s="15" t="s">
        <v>1604</v>
      </c>
      <c r="E798" s="16" t="s">
        <v>22</v>
      </c>
      <c r="F798" s="17"/>
      <c r="G798" cm="1">
        <f t="array" ref="G798">IFERROR(_xlfn.XLOOKUP(Pedido891011121412131617181921192223[[#This Row],[Id de Producto]],[1]!Precios[[#All],[Id de Producto]],[1]!Precios[[#All],[Coste estándar]])*Pedido891011121412131617181921192223[[#This Row],[Pedido]],0)</f>
        <v>0</v>
      </c>
      <c r="H798" s="18">
        <v>0</v>
      </c>
      <c r="I798" s="15" t="s">
        <v>781</v>
      </c>
      <c r="J798" s="1"/>
      <c r="K798" s="1"/>
      <c r="L798" s="1"/>
      <c r="M798" s="1"/>
    </row>
    <row r="799" spans="1:13" hidden="1" x14ac:dyDescent="0.25">
      <c r="A799" s="1"/>
      <c r="B799" s="15" t="s">
        <v>781</v>
      </c>
      <c r="C799" s="15" t="s">
        <v>1605</v>
      </c>
      <c r="D799" s="15" t="s">
        <v>1606</v>
      </c>
      <c r="E799" s="16" t="s">
        <v>26</v>
      </c>
      <c r="F799" s="17"/>
      <c r="G799" cm="1">
        <f t="array" ref="G799">IFERROR(_xlfn.XLOOKUP(Pedido891011121412131617181921192223[[#This Row],[Id de Producto]],[1]!Precios[[#All],[Id de Producto]],[1]!Precios[[#All],[Coste estándar]])*Pedido891011121412131617181921192223[[#This Row],[Pedido]],0)</f>
        <v>0</v>
      </c>
      <c r="H799" s="18">
        <v>0</v>
      </c>
      <c r="I799" s="15" t="s">
        <v>781</v>
      </c>
      <c r="J799" s="1"/>
      <c r="K799" s="1"/>
      <c r="L799" s="1"/>
      <c r="M799" s="1"/>
    </row>
    <row r="800" spans="1:13" hidden="1" x14ac:dyDescent="0.25">
      <c r="A800" s="1"/>
      <c r="B800" s="15" t="s">
        <v>781</v>
      </c>
      <c r="C800" s="15" t="s">
        <v>1607</v>
      </c>
      <c r="D800" s="15" t="s">
        <v>1608</v>
      </c>
      <c r="E800" s="15" t="s">
        <v>26</v>
      </c>
      <c r="F800" s="17"/>
      <c r="G800" cm="1">
        <f t="array" ref="G800">IFERROR(_xlfn.XLOOKUP(Pedido891011121412131617181921192223[[#This Row],[Id de Producto]],[1]!Precios[[#All],[Id de Producto]],[1]!Precios[[#All],[Coste estándar]])*Pedido891011121412131617181921192223[[#This Row],[Pedido]],0)</f>
        <v>0</v>
      </c>
      <c r="H800" s="18">
        <v>0</v>
      </c>
      <c r="I800" s="15" t="s">
        <v>781</v>
      </c>
      <c r="J800" s="1"/>
      <c r="K800" s="1"/>
      <c r="L800" s="1"/>
      <c r="M800" s="1"/>
    </row>
    <row r="801" spans="1:13" hidden="1" x14ac:dyDescent="0.25">
      <c r="A801" s="1"/>
      <c r="B801" s="16" t="s">
        <v>781</v>
      </c>
      <c r="C801" s="15" t="s">
        <v>1609</v>
      </c>
      <c r="D801" s="15" t="s">
        <v>1610</v>
      </c>
      <c r="E801" s="16" t="s">
        <v>26</v>
      </c>
      <c r="F801" s="17"/>
      <c r="G801" cm="1">
        <f t="array" ref="G801">IFERROR(_xlfn.XLOOKUP(Pedido891011121412131617181921192223[[#This Row],[Id de Producto]],[1]!Precios[[#All],[Id de Producto]],[1]!Precios[[#All],[Coste estándar]])*Pedido891011121412131617181921192223[[#This Row],[Pedido]],0)</f>
        <v>0</v>
      </c>
      <c r="H801" s="18">
        <v>0</v>
      </c>
      <c r="I801" s="15" t="s">
        <v>781</v>
      </c>
      <c r="J801" s="1"/>
      <c r="K801" s="1"/>
      <c r="L801" s="1"/>
      <c r="M801" s="1"/>
    </row>
    <row r="802" spans="1:13" hidden="1" x14ac:dyDescent="0.25">
      <c r="A802" s="1"/>
      <c r="B802" s="16" t="s">
        <v>781</v>
      </c>
      <c r="C802" s="15" t="s">
        <v>1611</v>
      </c>
      <c r="D802" s="15" t="s">
        <v>1612</v>
      </c>
      <c r="E802" s="16" t="s">
        <v>26</v>
      </c>
      <c r="F802" s="17"/>
      <c r="G802" cm="1">
        <f t="array" ref="G802">IFERROR(_xlfn.XLOOKUP(Pedido891011121412131617181921192223[[#This Row],[Id de Producto]],[1]!Precios[[#All],[Id de Producto]],[1]!Precios[[#All],[Coste estándar]])*Pedido891011121412131617181921192223[[#This Row],[Pedido]],0)</f>
        <v>0</v>
      </c>
      <c r="H802" s="18">
        <v>0</v>
      </c>
      <c r="I802" s="15" t="s">
        <v>781</v>
      </c>
      <c r="J802" s="1"/>
      <c r="K802" s="1"/>
      <c r="L802" s="1"/>
      <c r="M802" s="1"/>
    </row>
    <row r="803" spans="1:13" hidden="1" x14ac:dyDescent="0.25">
      <c r="A803" s="1"/>
      <c r="B803" s="15" t="s">
        <v>781</v>
      </c>
      <c r="C803" s="15" t="s">
        <v>1613</v>
      </c>
      <c r="D803" s="15" t="s">
        <v>1614</v>
      </c>
      <c r="E803" s="15" t="s">
        <v>26</v>
      </c>
      <c r="F803" s="17"/>
      <c r="G803" cm="1">
        <f t="array" ref="G803">IFERROR(_xlfn.XLOOKUP(Pedido891011121412131617181921192223[[#This Row],[Id de Producto]],[1]!Precios[[#All],[Id de Producto]],[1]!Precios[[#All],[Coste estándar]])*Pedido891011121412131617181921192223[[#This Row],[Pedido]],0)</f>
        <v>0</v>
      </c>
      <c r="H803" s="18">
        <v>0</v>
      </c>
      <c r="I803" s="15" t="s">
        <v>781</v>
      </c>
      <c r="J803" s="1"/>
      <c r="K803" s="1"/>
      <c r="L803" s="1"/>
      <c r="M803" s="1"/>
    </row>
    <row r="804" spans="1:13" hidden="1" x14ac:dyDescent="0.25">
      <c r="A804" s="1"/>
      <c r="B804" s="15" t="s">
        <v>781</v>
      </c>
      <c r="C804" s="15" t="s">
        <v>1615</v>
      </c>
      <c r="D804" s="15" t="s">
        <v>1616</v>
      </c>
      <c r="E804" s="16" t="s">
        <v>26</v>
      </c>
      <c r="F804" s="17"/>
      <c r="G804" cm="1">
        <f t="array" ref="G804">IFERROR(_xlfn.XLOOKUP(Pedido891011121412131617181921192223[[#This Row],[Id de Producto]],[1]!Precios[[#All],[Id de Producto]],[1]!Precios[[#All],[Coste estándar]])*Pedido891011121412131617181921192223[[#This Row],[Pedido]],0)</f>
        <v>0</v>
      </c>
      <c r="H804" s="18">
        <v>0</v>
      </c>
      <c r="I804" s="15" t="s">
        <v>781</v>
      </c>
      <c r="J804" s="1"/>
      <c r="K804" s="1"/>
      <c r="L804" s="1"/>
      <c r="M804" s="1"/>
    </row>
    <row r="805" spans="1:13" hidden="1" x14ac:dyDescent="0.25">
      <c r="A805" s="1"/>
      <c r="B805" s="15" t="s">
        <v>781</v>
      </c>
      <c r="C805" s="15" t="s">
        <v>1617</v>
      </c>
      <c r="D805" s="15" t="s">
        <v>1618</v>
      </c>
      <c r="E805" s="15" t="s">
        <v>26</v>
      </c>
      <c r="F805" s="17"/>
      <c r="G805" cm="1">
        <f t="array" ref="G805">IFERROR(_xlfn.XLOOKUP(Pedido891011121412131617181921192223[[#This Row],[Id de Producto]],[1]!Precios[[#All],[Id de Producto]],[1]!Precios[[#All],[Coste estándar]])*Pedido891011121412131617181921192223[[#This Row],[Pedido]],0)</f>
        <v>0</v>
      </c>
      <c r="H805" s="18">
        <v>0</v>
      </c>
      <c r="I805" s="15" t="s">
        <v>781</v>
      </c>
      <c r="J805" s="1"/>
      <c r="K805" s="1"/>
      <c r="L805" s="1"/>
      <c r="M805" s="1"/>
    </row>
    <row r="806" spans="1:13" hidden="1" x14ac:dyDescent="0.25">
      <c r="A806" s="1"/>
      <c r="B806" s="15" t="s">
        <v>781</v>
      </c>
      <c r="C806" s="15" t="s">
        <v>1619</v>
      </c>
      <c r="D806" s="15" t="s">
        <v>1620</v>
      </c>
      <c r="E806" s="15" t="s">
        <v>26</v>
      </c>
      <c r="F806" s="17"/>
      <c r="G806" cm="1">
        <f t="array" ref="G806">IFERROR(_xlfn.XLOOKUP(Pedido891011121412131617181921192223[[#This Row],[Id de Producto]],[1]!Precios[[#All],[Id de Producto]],[1]!Precios[[#All],[Coste estándar]])*Pedido891011121412131617181921192223[[#This Row],[Pedido]],0)</f>
        <v>0</v>
      </c>
      <c r="H806" s="18">
        <v>0</v>
      </c>
      <c r="I806" s="15" t="s">
        <v>781</v>
      </c>
      <c r="J806" s="1"/>
      <c r="K806" s="1"/>
      <c r="L806" s="1"/>
      <c r="M806" s="1"/>
    </row>
    <row r="807" spans="1:13" hidden="1" x14ac:dyDescent="0.25">
      <c r="A807" s="1"/>
      <c r="B807" s="15" t="s">
        <v>781</v>
      </c>
      <c r="C807" s="15" t="s">
        <v>1621</v>
      </c>
      <c r="D807" s="15" t="s">
        <v>1622</v>
      </c>
      <c r="E807" s="15" t="s">
        <v>26</v>
      </c>
      <c r="F807" s="17"/>
      <c r="G807" cm="1">
        <f t="array" ref="G807">IFERROR(_xlfn.XLOOKUP(Pedido891011121412131617181921192223[[#This Row],[Id de Producto]],[1]!Precios[[#All],[Id de Producto]],[1]!Precios[[#All],[Coste estándar]])*Pedido891011121412131617181921192223[[#This Row],[Pedido]],0)</f>
        <v>0</v>
      </c>
      <c r="H807" s="18">
        <v>0</v>
      </c>
      <c r="I807" s="15" t="s">
        <v>781</v>
      </c>
      <c r="J807" s="1"/>
      <c r="K807" s="1"/>
      <c r="L807" s="1"/>
      <c r="M807" s="1"/>
    </row>
    <row r="808" spans="1:13" hidden="1" x14ac:dyDescent="0.25">
      <c r="A808" s="1"/>
      <c r="B808" s="15" t="s">
        <v>781</v>
      </c>
      <c r="C808" s="15" t="s">
        <v>1623</v>
      </c>
      <c r="D808" s="15" t="s">
        <v>1624</v>
      </c>
      <c r="E808" s="15" t="s">
        <v>26</v>
      </c>
      <c r="F808" s="17"/>
      <c r="G808" cm="1">
        <f t="array" ref="G808">IFERROR(_xlfn.XLOOKUP(Pedido891011121412131617181921192223[[#This Row],[Id de Producto]],[1]!Precios[[#All],[Id de Producto]],[1]!Precios[[#All],[Coste estándar]])*Pedido891011121412131617181921192223[[#This Row],[Pedido]],0)</f>
        <v>0</v>
      </c>
      <c r="H808" s="18">
        <v>0</v>
      </c>
      <c r="I808" s="15" t="s">
        <v>781</v>
      </c>
      <c r="J808" s="1"/>
      <c r="K808" s="1"/>
      <c r="L808" s="1"/>
      <c r="M808" s="1"/>
    </row>
    <row r="809" spans="1:13" hidden="1" x14ac:dyDescent="0.25">
      <c r="A809" s="1"/>
      <c r="B809" s="16" t="s">
        <v>781</v>
      </c>
      <c r="C809" s="15" t="s">
        <v>1625</v>
      </c>
      <c r="D809" s="15" t="s">
        <v>1626</v>
      </c>
      <c r="E809" s="16" t="s">
        <v>26</v>
      </c>
      <c r="F809" s="17"/>
      <c r="G809" cm="1">
        <f t="array" ref="G809">IFERROR(_xlfn.XLOOKUP(Pedido891011121412131617181921192223[[#This Row],[Id de Producto]],[1]!Precios[[#All],[Id de Producto]],[1]!Precios[[#All],[Coste estándar]])*Pedido891011121412131617181921192223[[#This Row],[Pedido]],0)</f>
        <v>0</v>
      </c>
      <c r="H809" s="18">
        <v>0</v>
      </c>
      <c r="I809" s="15" t="s">
        <v>781</v>
      </c>
      <c r="J809" s="1"/>
      <c r="K809" s="1"/>
      <c r="L809" s="1"/>
      <c r="M809" s="1"/>
    </row>
    <row r="810" spans="1:13" hidden="1" x14ac:dyDescent="0.25">
      <c r="A810" s="1"/>
      <c r="B810" s="15" t="s">
        <v>781</v>
      </c>
      <c r="C810" s="15" t="s">
        <v>1627</v>
      </c>
      <c r="D810" s="15" t="s">
        <v>1628</v>
      </c>
      <c r="E810" s="16" t="s">
        <v>26</v>
      </c>
      <c r="F810" s="17"/>
      <c r="G810" cm="1">
        <f t="array" ref="G810">IFERROR(_xlfn.XLOOKUP(Pedido891011121412131617181921192223[[#This Row],[Id de Producto]],[1]!Precios[[#All],[Id de Producto]],[1]!Precios[[#All],[Coste estándar]])*Pedido891011121412131617181921192223[[#This Row],[Pedido]],0)</f>
        <v>0</v>
      </c>
      <c r="H810" s="18">
        <v>0</v>
      </c>
      <c r="I810" s="15" t="s">
        <v>781</v>
      </c>
      <c r="J810" s="1"/>
      <c r="K810" s="1"/>
      <c r="L810" s="1"/>
      <c r="M810" s="1"/>
    </row>
    <row r="811" spans="1:13" hidden="1" x14ac:dyDescent="0.25">
      <c r="A811" s="1"/>
      <c r="B811" s="15" t="s">
        <v>781</v>
      </c>
      <c r="C811" s="15" t="s">
        <v>1629</v>
      </c>
      <c r="D811" s="15" t="s">
        <v>1630</v>
      </c>
      <c r="E811" s="15" t="s">
        <v>26</v>
      </c>
      <c r="F811" s="17"/>
      <c r="G811" cm="1">
        <f t="array" ref="G811">IFERROR(_xlfn.XLOOKUP(Pedido891011121412131617181921192223[[#This Row],[Id de Producto]],[1]!Precios[[#All],[Id de Producto]],[1]!Precios[[#All],[Coste estándar]])*Pedido891011121412131617181921192223[[#This Row],[Pedido]],0)</f>
        <v>0</v>
      </c>
      <c r="H811" s="18">
        <v>0</v>
      </c>
      <c r="I811" s="15" t="s">
        <v>781</v>
      </c>
      <c r="J811" s="1"/>
      <c r="K811" s="1"/>
      <c r="L811" s="1"/>
      <c r="M811" s="1"/>
    </row>
    <row r="812" spans="1:13" hidden="1" x14ac:dyDescent="0.25">
      <c r="A812" s="1"/>
      <c r="B812" s="15" t="s">
        <v>781</v>
      </c>
      <c r="C812" s="15" t="s">
        <v>1631</v>
      </c>
      <c r="D812" s="15" t="s">
        <v>1632</v>
      </c>
      <c r="E812" s="15" t="s">
        <v>26</v>
      </c>
      <c r="F812" s="17"/>
      <c r="G812" cm="1">
        <f t="array" ref="G812">IFERROR(_xlfn.XLOOKUP(Pedido891011121412131617181921192223[[#This Row],[Id de Producto]],[1]!Precios[[#All],[Id de Producto]],[1]!Precios[[#All],[Coste estándar]])*Pedido891011121412131617181921192223[[#This Row],[Pedido]],0)</f>
        <v>0</v>
      </c>
      <c r="H812" s="18">
        <v>0</v>
      </c>
      <c r="I812" s="15" t="s">
        <v>781</v>
      </c>
      <c r="J812" s="1"/>
      <c r="K812" s="1"/>
      <c r="L812" s="1"/>
      <c r="M812" s="1"/>
    </row>
    <row r="813" spans="1:13" hidden="1" x14ac:dyDescent="0.25">
      <c r="A813" s="1"/>
      <c r="B813" s="15" t="s">
        <v>781</v>
      </c>
      <c r="C813" s="15" t="s">
        <v>1633</v>
      </c>
      <c r="D813" s="15" t="s">
        <v>1634</v>
      </c>
      <c r="E813" s="15" t="s">
        <v>26</v>
      </c>
      <c r="F813" s="17"/>
      <c r="G813" cm="1">
        <f t="array" ref="G813">IFERROR(_xlfn.XLOOKUP(Pedido891011121412131617181921192223[[#This Row],[Id de Producto]],[1]!Precios[[#All],[Id de Producto]],[1]!Precios[[#All],[Coste estándar]])*Pedido891011121412131617181921192223[[#This Row],[Pedido]],0)</f>
        <v>0</v>
      </c>
      <c r="H813" s="18">
        <v>0</v>
      </c>
      <c r="I813" s="15" t="s">
        <v>781</v>
      </c>
      <c r="J813" s="1"/>
      <c r="K813" s="1"/>
      <c r="L813" s="1"/>
      <c r="M813" s="1"/>
    </row>
    <row r="814" spans="1:13" hidden="1" x14ac:dyDescent="0.25">
      <c r="A814" s="1"/>
      <c r="B814" s="15" t="s">
        <v>781</v>
      </c>
      <c r="C814" s="15" t="s">
        <v>1635</v>
      </c>
      <c r="D814" s="15" t="s">
        <v>1636</v>
      </c>
      <c r="E814" s="16" t="s">
        <v>26</v>
      </c>
      <c r="F814" s="17"/>
      <c r="G814" cm="1">
        <f t="array" ref="G814">IFERROR(_xlfn.XLOOKUP(Pedido891011121412131617181921192223[[#This Row],[Id de Producto]],[1]!Precios[[#All],[Id de Producto]],[1]!Precios[[#All],[Coste estándar]])*Pedido891011121412131617181921192223[[#This Row],[Pedido]],0)</f>
        <v>0</v>
      </c>
      <c r="H814" s="18">
        <v>0</v>
      </c>
      <c r="I814" s="15" t="s">
        <v>781</v>
      </c>
      <c r="J814" s="1"/>
      <c r="K814" s="1"/>
      <c r="L814" s="1"/>
      <c r="M814" s="1"/>
    </row>
    <row r="815" spans="1:13" hidden="1" x14ac:dyDescent="0.25">
      <c r="A815" s="1"/>
      <c r="B815" s="15" t="s">
        <v>781</v>
      </c>
      <c r="C815" s="15" t="s">
        <v>1637</v>
      </c>
      <c r="D815" s="15" t="s">
        <v>1638</v>
      </c>
      <c r="E815" s="16" t="s">
        <v>26</v>
      </c>
      <c r="F815" s="17"/>
      <c r="G815" cm="1">
        <f t="array" ref="G815">IFERROR(_xlfn.XLOOKUP(Pedido891011121412131617181921192223[[#This Row],[Id de Producto]],[1]!Precios[[#All],[Id de Producto]],[1]!Precios[[#All],[Coste estándar]])*Pedido891011121412131617181921192223[[#This Row],[Pedido]],0)</f>
        <v>0</v>
      </c>
      <c r="H815" s="18">
        <v>0</v>
      </c>
      <c r="I815" s="15" t="s">
        <v>781</v>
      </c>
      <c r="J815" s="1"/>
      <c r="K815" s="1"/>
      <c r="L815" s="1"/>
      <c r="M815" s="1"/>
    </row>
    <row r="816" spans="1:13" hidden="1" x14ac:dyDescent="0.25">
      <c r="A816" s="1"/>
      <c r="B816" s="15" t="s">
        <v>781</v>
      </c>
      <c r="C816" s="15" t="s">
        <v>1639</v>
      </c>
      <c r="D816" s="15" t="s">
        <v>1640</v>
      </c>
      <c r="E816" s="16" t="s">
        <v>22</v>
      </c>
      <c r="F816" s="17"/>
      <c r="G816" cm="1">
        <f t="array" ref="G816">IFERROR(_xlfn.XLOOKUP(Pedido891011121412131617181921192223[[#This Row],[Id de Producto]],[1]!Precios[[#All],[Id de Producto]],[1]!Precios[[#All],[Coste estándar]])*Pedido891011121412131617181921192223[[#This Row],[Pedido]],0)</f>
        <v>0</v>
      </c>
      <c r="H816" s="15">
        <v>0</v>
      </c>
      <c r="I816" s="15" t="s">
        <v>781</v>
      </c>
      <c r="J816" s="1"/>
      <c r="K816" s="1"/>
      <c r="L816" s="1"/>
      <c r="M816" s="1"/>
    </row>
    <row r="817" spans="1:13" hidden="1" x14ac:dyDescent="0.25">
      <c r="A817" s="1"/>
      <c r="B817" s="15" t="s">
        <v>781</v>
      </c>
      <c r="C817" s="15" t="s">
        <v>1641</v>
      </c>
      <c r="D817" s="15" t="s">
        <v>1642</v>
      </c>
      <c r="E817" s="16" t="s">
        <v>18</v>
      </c>
      <c r="F817" s="17"/>
      <c r="G817" cm="1">
        <f t="array" ref="G817">IFERROR(_xlfn.XLOOKUP(Pedido891011121412131617181921192223[[#This Row],[Id de Producto]],[1]!Precios[[#All],[Id de Producto]],[1]!Precios[[#All],[Coste estándar]])*Pedido891011121412131617181921192223[[#This Row],[Pedido]],0)</f>
        <v>0</v>
      </c>
      <c r="H817" s="18">
        <v>0</v>
      </c>
      <c r="I817" s="15" t="s">
        <v>781</v>
      </c>
      <c r="J817" s="1"/>
      <c r="K817" s="1"/>
      <c r="L817" s="1"/>
      <c r="M817" s="1"/>
    </row>
    <row r="818" spans="1:13" hidden="1" x14ac:dyDescent="0.25">
      <c r="A818" s="1"/>
      <c r="B818" s="16" t="s">
        <v>781</v>
      </c>
      <c r="C818" s="15" t="s">
        <v>1643</v>
      </c>
      <c r="D818" s="15" t="s">
        <v>1644</v>
      </c>
      <c r="E818" s="16" t="s">
        <v>26</v>
      </c>
      <c r="F818" s="17"/>
      <c r="G818" cm="1">
        <f t="array" ref="G818">IFERROR(_xlfn.XLOOKUP(Pedido891011121412131617181921192223[[#This Row],[Id de Producto]],[1]!Precios[[#All],[Id de Producto]],[1]!Precios[[#All],[Coste estándar]])*Pedido891011121412131617181921192223[[#This Row],[Pedido]],0)</f>
        <v>0</v>
      </c>
      <c r="H818" s="18">
        <v>0</v>
      </c>
      <c r="I818" s="15" t="s">
        <v>781</v>
      </c>
      <c r="J818" s="1"/>
      <c r="K818" s="1"/>
      <c r="L818" s="1"/>
      <c r="M818" s="1"/>
    </row>
    <row r="819" spans="1:13" hidden="1" x14ac:dyDescent="0.25">
      <c r="A819" s="1"/>
      <c r="B819" s="15" t="s">
        <v>781</v>
      </c>
      <c r="C819" s="15" t="s">
        <v>1645</v>
      </c>
      <c r="D819" s="15" t="s">
        <v>1646</v>
      </c>
      <c r="E819" s="16" t="s">
        <v>18</v>
      </c>
      <c r="F819" s="17"/>
      <c r="G819" cm="1">
        <f t="array" ref="G819">IFERROR(_xlfn.XLOOKUP(Pedido891011121412131617181921192223[[#This Row],[Id de Producto]],[1]!Precios[[#All],[Id de Producto]],[1]!Precios[[#All],[Coste estándar]])*Pedido891011121412131617181921192223[[#This Row],[Pedido]],0)</f>
        <v>0</v>
      </c>
      <c r="H819" s="18">
        <v>0</v>
      </c>
      <c r="I819" s="15" t="s">
        <v>781</v>
      </c>
      <c r="J819" s="1"/>
      <c r="K819" s="1"/>
      <c r="L819" s="1"/>
      <c r="M819" s="1"/>
    </row>
    <row r="820" spans="1:13" hidden="1" x14ac:dyDescent="0.25">
      <c r="A820" s="1"/>
      <c r="B820" s="15" t="s">
        <v>781</v>
      </c>
      <c r="C820" s="15" t="s">
        <v>1647</v>
      </c>
      <c r="D820" s="15" t="s">
        <v>1648</v>
      </c>
      <c r="E820" s="16" t="s">
        <v>22</v>
      </c>
      <c r="F820" s="17"/>
      <c r="G820" cm="1">
        <f t="array" ref="G820">IFERROR(_xlfn.XLOOKUP(Pedido891011121412131617181921192223[[#This Row],[Id de Producto]],[1]!Precios[[#All],[Id de Producto]],[1]!Precios[[#All],[Coste estándar]])*Pedido891011121412131617181921192223[[#This Row],[Pedido]],0)</f>
        <v>0</v>
      </c>
      <c r="H820" s="18">
        <v>0</v>
      </c>
      <c r="I820" s="15" t="s">
        <v>781</v>
      </c>
      <c r="J820" s="1"/>
      <c r="K820" s="1"/>
      <c r="L820" s="1"/>
      <c r="M820" s="1"/>
    </row>
    <row r="821" spans="1:13" hidden="1" x14ac:dyDescent="0.25">
      <c r="A821" s="1"/>
      <c r="B821" s="15" t="s">
        <v>781</v>
      </c>
      <c r="C821" s="15" t="s">
        <v>1649</v>
      </c>
      <c r="D821" s="15" t="s">
        <v>1650</v>
      </c>
      <c r="E821" s="16" t="s">
        <v>26</v>
      </c>
      <c r="F821" s="17"/>
      <c r="G821" cm="1">
        <f t="array" ref="G821">IFERROR(_xlfn.XLOOKUP(Pedido891011121412131617181921192223[[#This Row],[Id de Producto]],[1]!Precios[[#All],[Id de Producto]],[1]!Precios[[#All],[Coste estándar]])*Pedido891011121412131617181921192223[[#This Row],[Pedido]],0)</f>
        <v>0</v>
      </c>
      <c r="H821" s="18">
        <v>0</v>
      </c>
      <c r="I821" s="15" t="s">
        <v>781</v>
      </c>
      <c r="J821" s="1"/>
      <c r="K821" s="1"/>
      <c r="L821" s="1"/>
      <c r="M821" s="1"/>
    </row>
    <row r="822" spans="1:13" hidden="1" x14ac:dyDescent="0.25">
      <c r="A822" s="1"/>
      <c r="B822" s="15" t="s">
        <v>781</v>
      </c>
      <c r="C822" s="15" t="s">
        <v>1651</v>
      </c>
      <c r="D822" s="15" t="s">
        <v>1652</v>
      </c>
      <c r="E822" s="16" t="s">
        <v>22</v>
      </c>
      <c r="F822" s="17"/>
      <c r="G822" cm="1">
        <f t="array" ref="G822">IFERROR(_xlfn.XLOOKUP(Pedido891011121412131617181921192223[[#This Row],[Id de Producto]],[1]!Precios[[#All],[Id de Producto]],[1]!Precios[[#All],[Coste estándar]])*Pedido891011121412131617181921192223[[#This Row],[Pedido]],0)</f>
        <v>0</v>
      </c>
      <c r="H822" s="18">
        <v>0</v>
      </c>
      <c r="I822" s="15" t="s">
        <v>781</v>
      </c>
      <c r="J822" s="1"/>
      <c r="K822" s="1"/>
      <c r="L822" s="1"/>
      <c r="M822" s="1"/>
    </row>
    <row r="823" spans="1:13" hidden="1" x14ac:dyDescent="0.25">
      <c r="A823" s="1"/>
      <c r="B823" s="15" t="s">
        <v>781</v>
      </c>
      <c r="C823" s="15" t="s">
        <v>1653</v>
      </c>
      <c r="D823" s="15" t="s">
        <v>1654</v>
      </c>
      <c r="E823" s="16" t="s">
        <v>18</v>
      </c>
      <c r="F823" s="17"/>
      <c r="G823" cm="1">
        <f t="array" ref="G823">IFERROR(_xlfn.XLOOKUP(Pedido891011121412131617181921192223[[#This Row],[Id de Producto]],[1]!Precios[[#All],[Id de Producto]],[1]!Precios[[#All],[Coste estándar]])*Pedido891011121412131617181921192223[[#This Row],[Pedido]],0)</f>
        <v>0</v>
      </c>
      <c r="H823" s="18">
        <v>0</v>
      </c>
      <c r="I823" s="15" t="s">
        <v>781</v>
      </c>
      <c r="J823" s="1"/>
      <c r="K823" s="1"/>
      <c r="L823" s="1"/>
      <c r="M823" s="1"/>
    </row>
    <row r="824" spans="1:13" hidden="1" x14ac:dyDescent="0.25">
      <c r="A824" s="1"/>
      <c r="B824" s="15" t="s">
        <v>781</v>
      </c>
      <c r="C824" s="15" t="s">
        <v>1655</v>
      </c>
      <c r="D824" s="15" t="s">
        <v>1656</v>
      </c>
      <c r="E824" s="15" t="s">
        <v>18</v>
      </c>
      <c r="F824" s="17"/>
      <c r="G824" cm="1">
        <f t="array" ref="G824">IFERROR(_xlfn.XLOOKUP(Pedido891011121412131617181921192223[[#This Row],[Id de Producto]],[1]!Precios[[#All],[Id de Producto]],[1]!Precios[[#All],[Coste estándar]])*Pedido891011121412131617181921192223[[#This Row],[Pedido]],0)</f>
        <v>0</v>
      </c>
      <c r="H824" s="18">
        <v>0</v>
      </c>
      <c r="I824" s="15" t="s">
        <v>781</v>
      </c>
      <c r="J824" s="1"/>
      <c r="K824" s="1"/>
      <c r="L824" s="1"/>
      <c r="M824" s="1"/>
    </row>
    <row r="825" spans="1:13" hidden="1" x14ac:dyDescent="0.25">
      <c r="A825" s="1"/>
      <c r="B825" s="15" t="s">
        <v>781</v>
      </c>
      <c r="C825" s="15" t="s">
        <v>1657</v>
      </c>
      <c r="D825" s="15" t="s">
        <v>1658</v>
      </c>
      <c r="E825" s="16" t="s">
        <v>26</v>
      </c>
      <c r="F825" s="17"/>
      <c r="G825" cm="1">
        <f t="array" ref="G825">IFERROR(_xlfn.XLOOKUP(Pedido891011121412131617181921192223[[#This Row],[Id de Producto]],[1]!Precios[[#All],[Id de Producto]],[1]!Precios[[#All],[Coste estándar]])*Pedido891011121412131617181921192223[[#This Row],[Pedido]],0)</f>
        <v>0</v>
      </c>
      <c r="H825" s="18">
        <v>0</v>
      </c>
      <c r="I825" s="15" t="s">
        <v>781</v>
      </c>
      <c r="J825" s="1"/>
      <c r="K825" s="1"/>
      <c r="L825" s="1"/>
      <c r="M825" s="1"/>
    </row>
    <row r="826" spans="1:13" hidden="1" x14ac:dyDescent="0.25">
      <c r="A826" s="1"/>
      <c r="B826" s="16" t="s">
        <v>781</v>
      </c>
      <c r="C826" s="15" t="s">
        <v>1659</v>
      </c>
      <c r="D826" s="15" t="s">
        <v>1660</v>
      </c>
      <c r="E826" s="16" t="s">
        <v>18</v>
      </c>
      <c r="F826" s="17"/>
      <c r="G826" cm="1">
        <f t="array" ref="G826">IFERROR(_xlfn.XLOOKUP(Pedido891011121412131617181921192223[[#This Row],[Id de Producto]],[1]!Precios[[#All],[Id de Producto]],[1]!Precios[[#All],[Coste estándar]])*Pedido891011121412131617181921192223[[#This Row],[Pedido]],0)</f>
        <v>0</v>
      </c>
      <c r="H826" s="18">
        <v>0</v>
      </c>
      <c r="I826" s="15" t="s">
        <v>781</v>
      </c>
      <c r="J826" s="1"/>
      <c r="K826" s="1"/>
      <c r="L826" s="1"/>
      <c r="M826" s="1"/>
    </row>
    <row r="827" spans="1:13" hidden="1" x14ac:dyDescent="0.25">
      <c r="A827" s="1"/>
      <c r="B827" s="15" t="s">
        <v>781</v>
      </c>
      <c r="C827" s="15" t="s">
        <v>1661</v>
      </c>
      <c r="D827" s="15" t="s">
        <v>1662</v>
      </c>
      <c r="E827" s="16" t="s">
        <v>120</v>
      </c>
      <c r="F827" s="17"/>
      <c r="G827" cm="1">
        <f t="array" ref="G827">IFERROR(_xlfn.XLOOKUP(Pedido891011121412131617181921192223[[#This Row],[Id de Producto]],[1]!Precios[[#All],[Id de Producto]],[1]!Precios[[#All],[Coste estándar]])*Pedido891011121412131617181921192223[[#This Row],[Pedido]],0)</f>
        <v>0</v>
      </c>
      <c r="H827" s="18">
        <v>0</v>
      </c>
      <c r="I827" s="15" t="s">
        <v>781</v>
      </c>
      <c r="J827" s="1"/>
      <c r="K827" s="1"/>
      <c r="L827" s="1"/>
      <c r="M827" s="1"/>
    </row>
    <row r="828" spans="1:13" hidden="1" x14ac:dyDescent="0.25">
      <c r="A828" s="1"/>
      <c r="B828" s="15" t="s">
        <v>781</v>
      </c>
      <c r="C828" s="15" t="s">
        <v>1663</v>
      </c>
      <c r="D828" s="15" t="s">
        <v>1664</v>
      </c>
      <c r="E828" s="16" t="s">
        <v>26</v>
      </c>
      <c r="F828" s="17"/>
      <c r="G828" cm="1">
        <f t="array" ref="G828">IFERROR(_xlfn.XLOOKUP(Pedido891011121412131617181921192223[[#This Row],[Id de Producto]],[1]!Precios[[#All],[Id de Producto]],[1]!Precios[[#All],[Coste estándar]])*Pedido891011121412131617181921192223[[#This Row],[Pedido]],0)</f>
        <v>0</v>
      </c>
      <c r="H828" s="15">
        <v>0</v>
      </c>
      <c r="I828" s="15" t="s">
        <v>781</v>
      </c>
      <c r="J828" s="1"/>
      <c r="K828" s="1"/>
      <c r="L828" s="1"/>
      <c r="M828" s="1"/>
    </row>
    <row r="829" spans="1:13" hidden="1" x14ac:dyDescent="0.25">
      <c r="A829" s="1"/>
      <c r="B829" s="15" t="s">
        <v>781</v>
      </c>
      <c r="C829" s="15" t="s">
        <v>1665</v>
      </c>
      <c r="D829" s="15" t="s">
        <v>1666</v>
      </c>
      <c r="E829" s="16" t="s">
        <v>26</v>
      </c>
      <c r="F829" s="17"/>
      <c r="G829" cm="1">
        <f t="array" ref="G829">IFERROR(_xlfn.XLOOKUP(Pedido891011121412131617181921192223[[#This Row],[Id de Producto]],[1]!Precios[[#All],[Id de Producto]],[1]!Precios[[#All],[Coste estándar]])*Pedido891011121412131617181921192223[[#This Row],[Pedido]],0)</f>
        <v>0</v>
      </c>
      <c r="H829" s="18">
        <v>0</v>
      </c>
      <c r="I829" s="15" t="s">
        <v>781</v>
      </c>
      <c r="J829" s="1"/>
      <c r="K829" s="1"/>
      <c r="L829" s="1"/>
      <c r="M829" s="1"/>
    </row>
    <row r="830" spans="1:13" hidden="1" x14ac:dyDescent="0.25">
      <c r="A830" s="1"/>
      <c r="B830" s="15" t="s">
        <v>781</v>
      </c>
      <c r="C830" s="15" t="s">
        <v>1667</v>
      </c>
      <c r="D830" s="15" t="s">
        <v>1668</v>
      </c>
      <c r="E830" s="16" t="s">
        <v>26</v>
      </c>
      <c r="F830" s="17"/>
      <c r="G830" cm="1">
        <f t="array" ref="G830">IFERROR(_xlfn.XLOOKUP(Pedido891011121412131617181921192223[[#This Row],[Id de Producto]],[1]!Precios[[#All],[Id de Producto]],[1]!Precios[[#All],[Coste estándar]])*Pedido891011121412131617181921192223[[#This Row],[Pedido]],0)</f>
        <v>0</v>
      </c>
      <c r="H830" s="18">
        <v>0</v>
      </c>
      <c r="I830" s="15" t="s">
        <v>781</v>
      </c>
      <c r="J830" s="1"/>
      <c r="K830" s="1"/>
      <c r="L830" s="1"/>
      <c r="M830" s="1"/>
    </row>
    <row r="831" spans="1:13" hidden="1" x14ac:dyDescent="0.25">
      <c r="A831" s="1"/>
      <c r="B831" s="16" t="s">
        <v>781</v>
      </c>
      <c r="C831" s="15" t="s">
        <v>1669</v>
      </c>
      <c r="D831" s="16" t="s">
        <v>1670</v>
      </c>
      <c r="E831" s="16" t="s">
        <v>18</v>
      </c>
      <c r="F831" s="17"/>
      <c r="G831" cm="1">
        <f t="array" ref="G831">IFERROR(_xlfn.XLOOKUP(Pedido891011121412131617181921192223[[#This Row],[Id de Producto]],[1]!Precios[[#All],[Id de Producto]],[1]!Precios[[#All],[Coste estándar]])*Pedido891011121412131617181921192223[[#This Row],[Pedido]],0)</f>
        <v>0</v>
      </c>
      <c r="H831" s="18">
        <v>0</v>
      </c>
      <c r="I831" s="15" t="s">
        <v>781</v>
      </c>
      <c r="J831" s="1"/>
      <c r="K831" s="1"/>
      <c r="L831" s="1"/>
      <c r="M831" s="1"/>
    </row>
    <row r="832" spans="1:13" hidden="1" x14ac:dyDescent="0.25">
      <c r="A832" s="1"/>
      <c r="B832" s="16" t="s">
        <v>781</v>
      </c>
      <c r="C832" s="15" t="s">
        <v>1671</v>
      </c>
      <c r="D832" s="16" t="s">
        <v>1672</v>
      </c>
      <c r="E832" s="16" t="s">
        <v>18</v>
      </c>
      <c r="F832" s="17"/>
      <c r="G832" cm="1">
        <f t="array" ref="G832">IFERROR(_xlfn.XLOOKUP(Pedido891011121412131617181921192223[[#This Row],[Id de Producto]],[1]!Precios[[#All],[Id de Producto]],[1]!Precios[[#All],[Coste estándar]])*Pedido891011121412131617181921192223[[#This Row],[Pedido]],0)</f>
        <v>0</v>
      </c>
      <c r="H832" s="18">
        <v>0</v>
      </c>
      <c r="I832" s="15" t="s">
        <v>781</v>
      </c>
      <c r="J832" s="1"/>
      <c r="K832" s="1"/>
      <c r="L832" s="1"/>
      <c r="M832" s="1"/>
    </row>
    <row r="833" spans="1:13" hidden="1" x14ac:dyDescent="0.25">
      <c r="A833" s="1"/>
      <c r="B833" s="16" t="s">
        <v>781</v>
      </c>
      <c r="C833" s="15" t="s">
        <v>1673</v>
      </c>
      <c r="D833" s="16" t="s">
        <v>1674</v>
      </c>
      <c r="E833" s="16" t="s">
        <v>26</v>
      </c>
      <c r="F833" s="17"/>
      <c r="G833" cm="1">
        <f t="array" ref="G833">IFERROR(_xlfn.XLOOKUP(Pedido891011121412131617181921192223[[#This Row],[Id de Producto]],[1]!Precios[[#All],[Id de Producto]],[1]!Precios[[#All],[Coste estándar]])*Pedido891011121412131617181921192223[[#This Row],[Pedido]],0)</f>
        <v>0</v>
      </c>
      <c r="H833" s="18">
        <v>0</v>
      </c>
      <c r="I833" s="15" t="s">
        <v>781</v>
      </c>
      <c r="J833" s="1"/>
      <c r="K833" s="1"/>
      <c r="L833" s="1"/>
      <c r="M833" s="1"/>
    </row>
    <row r="834" spans="1:13" hidden="1" x14ac:dyDescent="0.25">
      <c r="A834" s="1"/>
      <c r="B834" s="16" t="s">
        <v>781</v>
      </c>
      <c r="C834" s="15" t="s">
        <v>1675</v>
      </c>
      <c r="D834" s="16" t="s">
        <v>1676</v>
      </c>
      <c r="E834" s="16" t="s">
        <v>26</v>
      </c>
      <c r="F834" s="17"/>
      <c r="G834" cm="1">
        <f t="array" ref="G834">IFERROR(_xlfn.XLOOKUP(Pedido891011121412131617181921192223[[#This Row],[Id de Producto]],[1]!Precios[[#All],[Id de Producto]],[1]!Precios[[#All],[Coste estándar]])*Pedido891011121412131617181921192223[[#This Row],[Pedido]],0)</f>
        <v>0</v>
      </c>
      <c r="H834" s="18">
        <v>0</v>
      </c>
      <c r="I834" s="15" t="s">
        <v>781</v>
      </c>
      <c r="J834" s="1"/>
      <c r="K834" s="1"/>
      <c r="L834" s="1"/>
      <c r="M834" s="1"/>
    </row>
    <row r="835" spans="1:13" hidden="1" x14ac:dyDescent="0.25">
      <c r="A835" s="1"/>
      <c r="B835" s="16" t="s">
        <v>781</v>
      </c>
      <c r="C835" s="15" t="s">
        <v>1677</v>
      </c>
      <c r="D835" s="16" t="s">
        <v>1678</v>
      </c>
      <c r="E835" s="16" t="s">
        <v>26</v>
      </c>
      <c r="F835" s="17"/>
      <c r="G835" cm="1">
        <f t="array" ref="G835">IFERROR(_xlfn.XLOOKUP(Pedido891011121412131617181921192223[[#This Row],[Id de Producto]],[1]!Precios[[#All],[Id de Producto]],[1]!Precios[[#All],[Coste estándar]])*Pedido891011121412131617181921192223[[#This Row],[Pedido]],0)</f>
        <v>0</v>
      </c>
      <c r="H835" s="18">
        <v>0</v>
      </c>
      <c r="I835" s="15" t="s">
        <v>781</v>
      </c>
      <c r="J835" s="1"/>
      <c r="K835" s="1"/>
      <c r="L835" s="1"/>
      <c r="M835" s="1"/>
    </row>
    <row r="836" spans="1:13" hidden="1" x14ac:dyDescent="0.25">
      <c r="A836" s="1"/>
      <c r="B836" s="16" t="s">
        <v>781</v>
      </c>
      <c r="C836" s="15" t="s">
        <v>1679</v>
      </c>
      <c r="D836" s="16" t="s">
        <v>1680</v>
      </c>
      <c r="E836" s="16" t="s">
        <v>18</v>
      </c>
      <c r="F836" s="17"/>
      <c r="G836" cm="1">
        <f t="array" ref="G836">IFERROR(_xlfn.XLOOKUP(Pedido891011121412131617181921192223[[#This Row],[Id de Producto]],[1]!Precios[[#All],[Id de Producto]],[1]!Precios[[#All],[Coste estándar]])*Pedido891011121412131617181921192223[[#This Row],[Pedido]],0)</f>
        <v>0</v>
      </c>
      <c r="H836" s="18">
        <v>0</v>
      </c>
      <c r="I836" s="15" t="s">
        <v>781</v>
      </c>
      <c r="J836" s="1"/>
      <c r="K836" s="1"/>
      <c r="L836" s="1"/>
      <c r="M836" s="1"/>
    </row>
    <row r="837" spans="1:13" hidden="1" x14ac:dyDescent="0.25">
      <c r="A837" s="1"/>
      <c r="B837" s="15" t="s">
        <v>781</v>
      </c>
      <c r="C837" s="15" t="s">
        <v>1681</v>
      </c>
      <c r="D837" s="15" t="s">
        <v>1682</v>
      </c>
      <c r="E837" s="16" t="s">
        <v>26</v>
      </c>
      <c r="F837" s="17"/>
      <c r="G837" cm="1">
        <f t="array" ref="G837">IFERROR(_xlfn.XLOOKUP(Pedido891011121412131617181921192223[[#This Row],[Id de Producto]],[1]!Precios[[#All],[Id de Producto]],[1]!Precios[[#All],[Coste estándar]])*Pedido891011121412131617181921192223[[#This Row],[Pedido]],0)</f>
        <v>0</v>
      </c>
      <c r="H837" s="15">
        <v>0</v>
      </c>
      <c r="I837" s="15" t="s">
        <v>781</v>
      </c>
      <c r="J837" s="1"/>
      <c r="K837" s="1"/>
      <c r="L837" s="1"/>
      <c r="M837" s="1"/>
    </row>
    <row r="838" spans="1:13" hidden="1" x14ac:dyDescent="0.25">
      <c r="A838" s="1"/>
      <c r="B838" s="16" t="s">
        <v>102</v>
      </c>
      <c r="C838" s="15" t="s">
        <v>1683</v>
      </c>
      <c r="D838" s="16" t="s">
        <v>1684</v>
      </c>
      <c r="E838" s="16" t="s">
        <v>18</v>
      </c>
      <c r="F838" s="17"/>
      <c r="G838" cm="1">
        <f t="array" ref="G838">IFERROR(_xlfn.XLOOKUP(Pedido891011121412131617181921192223[[#This Row],[Id de Producto]],[1]!Precios[[#All],[Id de Producto]],[1]!Precios[[#All],[Coste estándar]])*Pedido891011121412131617181921192223[[#This Row],[Pedido]],0)</f>
        <v>0</v>
      </c>
      <c r="H838" s="18">
        <v>0</v>
      </c>
      <c r="I838" s="16" t="s">
        <v>102</v>
      </c>
      <c r="J838" s="1"/>
      <c r="K838" s="1"/>
      <c r="L838" s="1"/>
      <c r="M838" s="1"/>
    </row>
    <row r="839" spans="1:13" hidden="1" x14ac:dyDescent="0.25">
      <c r="A839" s="1"/>
      <c r="B839" s="16" t="s">
        <v>102</v>
      </c>
      <c r="C839" s="15" t="s">
        <v>1685</v>
      </c>
      <c r="D839" s="16" t="s">
        <v>1686</v>
      </c>
      <c r="E839" s="16" t="s">
        <v>18</v>
      </c>
      <c r="F839" s="17"/>
      <c r="G839" cm="1">
        <f t="array" ref="G839">IFERROR(_xlfn.XLOOKUP(Pedido891011121412131617181921192223[[#This Row],[Id de Producto]],[1]!Precios[[#All],[Id de Producto]],[1]!Precios[[#All],[Coste estándar]])*Pedido891011121412131617181921192223[[#This Row],[Pedido]],0)</f>
        <v>0</v>
      </c>
      <c r="H839" s="18">
        <v>0</v>
      </c>
      <c r="I839" s="16" t="s">
        <v>102</v>
      </c>
      <c r="J839" s="1"/>
      <c r="K839" s="1"/>
      <c r="L839" s="1"/>
      <c r="M839" s="1"/>
    </row>
    <row r="840" spans="1:13" hidden="1" x14ac:dyDescent="0.25">
      <c r="A840" s="1"/>
      <c r="B840" s="16" t="s">
        <v>102</v>
      </c>
      <c r="C840" s="15" t="s">
        <v>1687</v>
      </c>
      <c r="D840" s="16" t="s">
        <v>1688</v>
      </c>
      <c r="E840" s="16" t="s">
        <v>18</v>
      </c>
      <c r="F840" s="17"/>
      <c r="G840" cm="1">
        <f t="array" ref="G840">IFERROR(_xlfn.XLOOKUP(Pedido891011121412131617181921192223[[#This Row],[Id de Producto]],[1]!Precios[[#All],[Id de Producto]],[1]!Precios[[#All],[Coste estándar]])*Pedido891011121412131617181921192223[[#This Row],[Pedido]],0)</f>
        <v>0</v>
      </c>
      <c r="H840" s="18">
        <v>0</v>
      </c>
      <c r="I840" s="16" t="s">
        <v>102</v>
      </c>
      <c r="J840" s="1"/>
      <c r="K840" s="1"/>
      <c r="L840" s="1"/>
      <c r="M840" s="1"/>
    </row>
    <row r="841" spans="1:13" hidden="1" x14ac:dyDescent="0.25">
      <c r="A841" s="1"/>
      <c r="B841" s="15" t="s">
        <v>102</v>
      </c>
      <c r="C841" s="15" t="s">
        <v>1689</v>
      </c>
      <c r="D841" s="15" t="s">
        <v>1690</v>
      </c>
      <c r="E841" s="16" t="s">
        <v>26</v>
      </c>
      <c r="F841" s="17"/>
      <c r="G841" cm="1">
        <f t="array" ref="G841">IFERROR(_xlfn.XLOOKUP(Pedido891011121412131617181921192223[[#This Row],[Id de Producto]],[1]!Precios[[#All],[Id de Producto]],[1]!Precios[[#All],[Coste estándar]])*Pedido891011121412131617181921192223[[#This Row],[Pedido]],0)</f>
        <v>0</v>
      </c>
      <c r="H841" s="15">
        <v>0</v>
      </c>
      <c r="I841" s="15" t="s">
        <v>102</v>
      </c>
      <c r="J841" s="1"/>
      <c r="K841" s="1"/>
      <c r="L841" s="1"/>
      <c r="M841" s="1"/>
    </row>
    <row r="842" spans="1:13" hidden="1" x14ac:dyDescent="0.25">
      <c r="A842" s="1"/>
      <c r="B842" s="16" t="s">
        <v>102</v>
      </c>
      <c r="C842" s="15" t="s">
        <v>1691</v>
      </c>
      <c r="D842" s="16" t="s">
        <v>1692</v>
      </c>
      <c r="E842" s="16" t="s">
        <v>18</v>
      </c>
      <c r="F842" s="17"/>
      <c r="G842" cm="1">
        <f t="array" ref="G842">IFERROR(_xlfn.XLOOKUP(Pedido891011121412131617181921192223[[#This Row],[Id de Producto]],[1]!Precios[[#All],[Id de Producto]],[1]!Precios[[#All],[Coste estándar]])*Pedido891011121412131617181921192223[[#This Row],[Pedido]],0)</f>
        <v>0</v>
      </c>
      <c r="H842" s="18">
        <v>0</v>
      </c>
      <c r="I842" s="16" t="s">
        <v>102</v>
      </c>
      <c r="J842" s="1"/>
      <c r="K842" s="1"/>
      <c r="L842" s="1"/>
      <c r="M842" s="1"/>
    </row>
    <row r="843" spans="1:13" hidden="1" x14ac:dyDescent="0.25">
      <c r="A843" s="1"/>
      <c r="B843" s="16" t="s">
        <v>102</v>
      </c>
      <c r="C843" s="15" t="s">
        <v>1691</v>
      </c>
      <c r="D843" s="16" t="s">
        <v>1692</v>
      </c>
      <c r="E843" s="16" t="s">
        <v>18</v>
      </c>
      <c r="F843" s="17"/>
      <c r="G843" cm="1">
        <f t="array" ref="G843">IFERROR(_xlfn.XLOOKUP(Pedido891011121412131617181921192223[[#This Row],[Id de Producto]],[1]!Precios[[#All],[Id de Producto]],[1]!Precios[[#All],[Coste estándar]])*Pedido891011121412131617181921192223[[#This Row],[Pedido]],0)</f>
        <v>0</v>
      </c>
      <c r="H843" s="18">
        <v>0</v>
      </c>
      <c r="I843" s="16" t="s">
        <v>102</v>
      </c>
      <c r="J843" s="1"/>
      <c r="K843" s="1"/>
      <c r="L843" s="1"/>
      <c r="M843" s="1"/>
    </row>
    <row r="844" spans="1:13" hidden="1" x14ac:dyDescent="0.25">
      <c r="A844" s="1"/>
      <c r="B844" s="16" t="s">
        <v>102</v>
      </c>
      <c r="C844" s="15" t="s">
        <v>1693</v>
      </c>
      <c r="D844" s="16" t="s">
        <v>1694</v>
      </c>
      <c r="E844" s="16" t="s">
        <v>26</v>
      </c>
      <c r="F844" s="17"/>
      <c r="G844" cm="1">
        <f t="array" ref="G844">IFERROR(_xlfn.XLOOKUP(Pedido891011121412131617181921192223[[#This Row],[Id de Producto]],[1]!Precios[[#All],[Id de Producto]],[1]!Precios[[#All],[Coste estándar]])*Pedido891011121412131617181921192223[[#This Row],[Pedido]],0)</f>
        <v>0</v>
      </c>
      <c r="H844" s="18">
        <v>0</v>
      </c>
      <c r="I844" s="16" t="s">
        <v>102</v>
      </c>
      <c r="J844" s="1"/>
      <c r="K844" s="1"/>
      <c r="L844" s="1"/>
      <c r="M844" s="1"/>
    </row>
    <row r="845" spans="1:13" hidden="1" x14ac:dyDescent="0.25">
      <c r="A845" s="1"/>
      <c r="B845" s="16" t="s">
        <v>102</v>
      </c>
      <c r="C845" s="15" t="s">
        <v>1695</v>
      </c>
      <c r="D845" s="16" t="s">
        <v>1696</v>
      </c>
      <c r="E845" s="16" t="s">
        <v>26</v>
      </c>
      <c r="F845" s="17"/>
      <c r="G845" cm="1">
        <f t="array" ref="G845">IFERROR(_xlfn.XLOOKUP(Pedido891011121412131617181921192223[[#This Row],[Id de Producto]],[1]!Precios[[#All],[Id de Producto]],[1]!Precios[[#All],[Coste estándar]])*Pedido891011121412131617181921192223[[#This Row],[Pedido]],0)</f>
        <v>0</v>
      </c>
      <c r="H845" s="18">
        <v>0</v>
      </c>
      <c r="I845" s="16" t="s">
        <v>102</v>
      </c>
      <c r="J845" s="1"/>
      <c r="K845" s="1"/>
      <c r="L845" s="1"/>
      <c r="M845" s="1"/>
    </row>
    <row r="846" spans="1:13" hidden="1" x14ac:dyDescent="0.25">
      <c r="A846" s="1"/>
      <c r="B846" s="16" t="s">
        <v>102</v>
      </c>
      <c r="C846" s="15" t="s">
        <v>1695</v>
      </c>
      <c r="D846" s="16" t="s">
        <v>1696</v>
      </c>
      <c r="E846" s="16" t="s">
        <v>26</v>
      </c>
      <c r="F846" s="17"/>
      <c r="G846" cm="1">
        <f t="array" ref="G846">IFERROR(_xlfn.XLOOKUP(Pedido891011121412131617181921192223[[#This Row],[Id de Producto]],[1]!Precios[[#All],[Id de Producto]],[1]!Precios[[#All],[Coste estándar]])*Pedido891011121412131617181921192223[[#This Row],[Pedido]],0)</f>
        <v>0</v>
      </c>
      <c r="H846" s="18">
        <v>0</v>
      </c>
      <c r="I846" s="16" t="s">
        <v>102</v>
      </c>
      <c r="J846" s="1"/>
      <c r="K846" s="1"/>
      <c r="L846" s="1"/>
      <c r="M846" s="1"/>
    </row>
    <row r="847" spans="1:13" hidden="1" x14ac:dyDescent="0.25">
      <c r="A847" s="1"/>
      <c r="B847" s="16" t="s">
        <v>102</v>
      </c>
      <c r="C847" s="15" t="s">
        <v>1697</v>
      </c>
      <c r="D847" s="16" t="s">
        <v>1698</v>
      </c>
      <c r="E847" s="16" t="s">
        <v>26</v>
      </c>
      <c r="F847" s="17"/>
      <c r="G847" cm="1">
        <f t="array" ref="G847">IFERROR(_xlfn.XLOOKUP(Pedido891011121412131617181921192223[[#This Row],[Id de Producto]],[1]!Precios[[#All],[Id de Producto]],[1]!Precios[[#All],[Coste estándar]])*Pedido891011121412131617181921192223[[#This Row],[Pedido]],0)</f>
        <v>0</v>
      </c>
      <c r="H847" s="18">
        <v>0</v>
      </c>
      <c r="I847" s="16" t="s">
        <v>102</v>
      </c>
      <c r="J847" s="1"/>
      <c r="K847" s="1"/>
      <c r="L847" s="1"/>
      <c r="M847" s="1"/>
    </row>
    <row r="848" spans="1:13" hidden="1" x14ac:dyDescent="0.25">
      <c r="A848" s="1"/>
      <c r="B848" s="16" t="s">
        <v>102</v>
      </c>
      <c r="C848" s="15" t="s">
        <v>1699</v>
      </c>
      <c r="D848" s="15" t="s">
        <v>1700</v>
      </c>
      <c r="E848" s="16" t="s">
        <v>22</v>
      </c>
      <c r="F848" s="17"/>
      <c r="G848" cm="1">
        <f t="array" ref="G848">IFERROR(_xlfn.XLOOKUP(Pedido891011121412131617181921192223[[#This Row],[Id de Producto]],[1]!Precios[[#All],[Id de Producto]],[1]!Precios[[#All],[Coste estándar]])*Pedido891011121412131617181921192223[[#This Row],[Pedido]],0)</f>
        <v>0</v>
      </c>
      <c r="H848" s="18">
        <v>0</v>
      </c>
      <c r="I848" s="16" t="s">
        <v>102</v>
      </c>
      <c r="J848" s="1"/>
      <c r="K848" s="1"/>
      <c r="L848" s="1"/>
      <c r="M848" s="1"/>
    </row>
    <row r="849" spans="1:13" hidden="1" x14ac:dyDescent="0.25">
      <c r="A849" s="1"/>
      <c r="B849" s="15" t="s">
        <v>102</v>
      </c>
      <c r="C849" s="15" t="s">
        <v>1701</v>
      </c>
      <c r="D849" s="15" t="s">
        <v>1702</v>
      </c>
      <c r="E849" s="16" t="s">
        <v>22</v>
      </c>
      <c r="F849" s="17"/>
      <c r="G849" cm="1">
        <f t="array" ref="G849">IFERROR(_xlfn.XLOOKUP(Pedido891011121412131617181921192223[[#This Row],[Id de Producto]],[1]!Precios[[#All],[Id de Producto]],[1]!Precios[[#All],[Coste estándar]])*Pedido891011121412131617181921192223[[#This Row],[Pedido]],0)</f>
        <v>0</v>
      </c>
      <c r="H849" s="15">
        <v>0</v>
      </c>
      <c r="I849" s="15" t="s">
        <v>102</v>
      </c>
      <c r="J849" s="1"/>
      <c r="K849" s="1"/>
      <c r="L849" s="1"/>
      <c r="M849" s="1"/>
    </row>
    <row r="850" spans="1:13" hidden="1" x14ac:dyDescent="0.25">
      <c r="A850" s="1"/>
      <c r="B850" s="16" t="s">
        <v>102</v>
      </c>
      <c r="C850" s="15" t="s">
        <v>1703</v>
      </c>
      <c r="D850" s="16" t="s">
        <v>1704</v>
      </c>
      <c r="E850" s="16" t="s">
        <v>22</v>
      </c>
      <c r="F850" s="17"/>
      <c r="G850" cm="1">
        <f t="array" ref="G850">IFERROR(_xlfn.XLOOKUP(Pedido891011121412131617181921192223[[#This Row],[Id de Producto]],[1]!Precios[[#All],[Id de Producto]],[1]!Precios[[#All],[Coste estándar]])*Pedido891011121412131617181921192223[[#This Row],[Pedido]],0)</f>
        <v>0</v>
      </c>
      <c r="H850" s="18">
        <v>0</v>
      </c>
      <c r="I850" s="16" t="s">
        <v>102</v>
      </c>
      <c r="J850" s="1"/>
      <c r="K850" s="1"/>
      <c r="L850" s="1"/>
      <c r="M850" s="1"/>
    </row>
    <row r="851" spans="1:13" hidden="1" x14ac:dyDescent="0.25">
      <c r="A851" s="1"/>
      <c r="B851" s="15" t="s">
        <v>102</v>
      </c>
      <c r="C851" s="15" t="s">
        <v>1705</v>
      </c>
      <c r="D851" s="15" t="s">
        <v>1706</v>
      </c>
      <c r="E851" s="16" t="s">
        <v>22</v>
      </c>
      <c r="F851" s="17"/>
      <c r="G851" cm="1">
        <f t="array" ref="G851">IFERROR(_xlfn.XLOOKUP(Pedido891011121412131617181921192223[[#This Row],[Id de Producto]],[1]!Precios[[#All],[Id de Producto]],[1]!Precios[[#All],[Coste estándar]])*Pedido891011121412131617181921192223[[#This Row],[Pedido]],0)</f>
        <v>0</v>
      </c>
      <c r="H851" s="15">
        <v>0</v>
      </c>
      <c r="I851" s="15" t="s">
        <v>102</v>
      </c>
      <c r="J851" s="1"/>
      <c r="K851" s="1"/>
      <c r="L851" s="1"/>
      <c r="M851" s="1"/>
    </row>
    <row r="852" spans="1:13" hidden="1" x14ac:dyDescent="0.25">
      <c r="A852" s="1"/>
      <c r="B852" s="15" t="s">
        <v>102</v>
      </c>
      <c r="C852" s="15" t="s">
        <v>1707</v>
      </c>
      <c r="D852" s="15" t="s">
        <v>1708</v>
      </c>
      <c r="E852" s="15" t="s">
        <v>18</v>
      </c>
      <c r="F852" s="17"/>
      <c r="G852" cm="1">
        <f t="array" ref="G852">IFERROR(_xlfn.XLOOKUP(Pedido891011121412131617181921192223[[#This Row],[Id de Producto]],[1]!Precios[[#All],[Id de Producto]],[1]!Precios[[#All],[Coste estándar]])*Pedido891011121412131617181921192223[[#This Row],[Pedido]],0)</f>
        <v>0</v>
      </c>
      <c r="H852" s="18">
        <v>0</v>
      </c>
      <c r="I852" s="16" t="s">
        <v>102</v>
      </c>
      <c r="J852" s="1"/>
      <c r="K852" s="1"/>
      <c r="L852" s="1"/>
      <c r="M852" s="1"/>
    </row>
    <row r="853" spans="1:13" hidden="1" x14ac:dyDescent="0.25">
      <c r="A853" s="1"/>
      <c r="B853" s="16" t="s">
        <v>102</v>
      </c>
      <c r="C853" s="15" t="s">
        <v>1709</v>
      </c>
      <c r="D853" s="16" t="s">
        <v>1710</v>
      </c>
      <c r="E853" s="16" t="s">
        <v>18</v>
      </c>
      <c r="F853" s="17"/>
      <c r="G853" cm="1">
        <f t="array" ref="G853">IFERROR(_xlfn.XLOOKUP(Pedido891011121412131617181921192223[[#This Row],[Id de Producto]],[1]!Precios[[#All],[Id de Producto]],[1]!Precios[[#All],[Coste estándar]])*Pedido891011121412131617181921192223[[#This Row],[Pedido]],0)</f>
        <v>0</v>
      </c>
      <c r="H853" s="18">
        <v>0</v>
      </c>
      <c r="I853" s="16" t="s">
        <v>102</v>
      </c>
      <c r="J853" s="1"/>
      <c r="K853" s="1"/>
      <c r="L853" s="1"/>
      <c r="M853" s="1"/>
    </row>
    <row r="854" spans="1:13" hidden="1" x14ac:dyDescent="0.25">
      <c r="A854" s="1"/>
      <c r="B854" s="16" t="s">
        <v>102</v>
      </c>
      <c r="C854" s="15" t="s">
        <v>1711</v>
      </c>
      <c r="D854" s="16" t="s">
        <v>1712</v>
      </c>
      <c r="E854" s="16" t="s">
        <v>18</v>
      </c>
      <c r="F854" s="17"/>
      <c r="G854" cm="1">
        <f t="array" ref="G854">IFERROR(_xlfn.XLOOKUP(Pedido891011121412131617181921192223[[#This Row],[Id de Producto]],[1]!Precios[[#All],[Id de Producto]],[1]!Precios[[#All],[Coste estándar]])*Pedido891011121412131617181921192223[[#This Row],[Pedido]],0)</f>
        <v>0</v>
      </c>
      <c r="H854" s="18">
        <v>0</v>
      </c>
      <c r="I854" s="16" t="s">
        <v>102</v>
      </c>
      <c r="J854" s="1"/>
      <c r="K854" s="1"/>
      <c r="L854" s="1"/>
      <c r="M854" s="1"/>
    </row>
    <row r="855" spans="1:13" hidden="1" x14ac:dyDescent="0.25">
      <c r="A855" s="1"/>
      <c r="B855" s="16" t="s">
        <v>102</v>
      </c>
      <c r="C855" s="15" t="s">
        <v>1713</v>
      </c>
      <c r="D855" s="16" t="s">
        <v>1714</v>
      </c>
      <c r="E855" s="16" t="s">
        <v>18</v>
      </c>
      <c r="F855" s="17"/>
      <c r="G855" cm="1">
        <f t="array" ref="G855">IFERROR(_xlfn.XLOOKUP(Pedido891011121412131617181921192223[[#This Row],[Id de Producto]],[1]!Precios[[#All],[Id de Producto]],[1]!Precios[[#All],[Coste estándar]])*Pedido891011121412131617181921192223[[#This Row],[Pedido]],0)</f>
        <v>0</v>
      </c>
      <c r="H855" s="18">
        <v>0</v>
      </c>
      <c r="I855" s="16" t="s">
        <v>102</v>
      </c>
      <c r="J855" s="1"/>
      <c r="K855" s="1"/>
      <c r="L855" s="1"/>
      <c r="M855" s="1"/>
    </row>
    <row r="856" spans="1:13" hidden="1" x14ac:dyDescent="0.25">
      <c r="A856" s="1"/>
      <c r="B856" s="16" t="s">
        <v>102</v>
      </c>
      <c r="C856" s="15" t="s">
        <v>1715</v>
      </c>
      <c r="D856" s="15" t="s">
        <v>1716</v>
      </c>
      <c r="E856" s="16" t="s">
        <v>18</v>
      </c>
      <c r="F856" s="17"/>
      <c r="G856" cm="1">
        <f t="array" ref="G856">IFERROR(_xlfn.XLOOKUP(Pedido891011121412131617181921192223[[#This Row],[Id de Producto]],[1]!Precios[[#All],[Id de Producto]],[1]!Precios[[#All],[Coste estándar]])*Pedido891011121412131617181921192223[[#This Row],[Pedido]],0)</f>
        <v>0</v>
      </c>
      <c r="H856" s="18">
        <v>0</v>
      </c>
      <c r="I856" s="16" t="s">
        <v>102</v>
      </c>
      <c r="J856" s="1"/>
      <c r="K856" s="1"/>
      <c r="L856" s="1"/>
      <c r="M856" s="1"/>
    </row>
    <row r="857" spans="1:13" hidden="1" x14ac:dyDescent="0.25">
      <c r="A857" s="1"/>
      <c r="B857" s="16" t="s">
        <v>102</v>
      </c>
      <c r="C857" s="15" t="s">
        <v>1717</v>
      </c>
      <c r="D857" s="15" t="s">
        <v>1718</v>
      </c>
      <c r="E857" s="16" t="s">
        <v>18</v>
      </c>
      <c r="F857" s="17"/>
      <c r="G857" cm="1">
        <f t="array" ref="G857">IFERROR(_xlfn.XLOOKUP(Pedido891011121412131617181921192223[[#This Row],[Id de Producto]],[1]!Precios[[#All],[Id de Producto]],[1]!Precios[[#All],[Coste estándar]])*Pedido891011121412131617181921192223[[#This Row],[Pedido]],0)</f>
        <v>0</v>
      </c>
      <c r="H857" s="18">
        <v>0</v>
      </c>
      <c r="I857" s="16" t="s">
        <v>102</v>
      </c>
      <c r="J857" s="1"/>
      <c r="K857" s="1"/>
      <c r="L857" s="1"/>
      <c r="M857" s="1"/>
    </row>
    <row r="858" spans="1:13" hidden="1" x14ac:dyDescent="0.25">
      <c r="A858" s="1"/>
      <c r="B858" s="16" t="s">
        <v>102</v>
      </c>
      <c r="C858" s="15" t="s">
        <v>1719</v>
      </c>
      <c r="D858" s="15" t="s">
        <v>1720</v>
      </c>
      <c r="E858" s="16" t="s">
        <v>18</v>
      </c>
      <c r="F858" s="17"/>
      <c r="G858" cm="1">
        <f t="array" ref="G858">IFERROR(_xlfn.XLOOKUP(Pedido891011121412131617181921192223[[#This Row],[Id de Producto]],[1]!Precios[[#All],[Id de Producto]],[1]!Precios[[#All],[Coste estándar]])*Pedido891011121412131617181921192223[[#This Row],[Pedido]],0)</f>
        <v>0</v>
      </c>
      <c r="H858" s="18">
        <v>0</v>
      </c>
      <c r="I858" s="16" t="s">
        <v>102</v>
      </c>
      <c r="J858" s="1"/>
      <c r="K858" s="1"/>
      <c r="L858" s="1"/>
      <c r="M858" s="1"/>
    </row>
    <row r="859" spans="1:13" hidden="1" x14ac:dyDescent="0.25">
      <c r="A859" s="1"/>
      <c r="B859" s="16" t="s">
        <v>102</v>
      </c>
      <c r="C859" s="15" t="s">
        <v>1721</v>
      </c>
      <c r="D859" s="15" t="s">
        <v>1722</v>
      </c>
      <c r="E859" s="16" t="s">
        <v>22</v>
      </c>
      <c r="F859" s="17"/>
      <c r="G859" cm="1">
        <f t="array" ref="G859">IFERROR(_xlfn.XLOOKUP(Pedido891011121412131617181921192223[[#This Row],[Id de Producto]],[1]!Precios[[#All],[Id de Producto]],[1]!Precios[[#All],[Coste estándar]])*Pedido891011121412131617181921192223[[#This Row],[Pedido]],0)</f>
        <v>0</v>
      </c>
      <c r="H859" s="18">
        <v>0</v>
      </c>
      <c r="I859" s="16" t="s">
        <v>102</v>
      </c>
      <c r="J859" s="1"/>
      <c r="K859" s="1"/>
      <c r="L859" s="1"/>
      <c r="M859" s="1"/>
    </row>
    <row r="860" spans="1:13" hidden="1" x14ac:dyDescent="0.25">
      <c r="A860" s="1"/>
      <c r="B860" s="16" t="s">
        <v>102</v>
      </c>
      <c r="C860" s="15" t="s">
        <v>1723</v>
      </c>
      <c r="D860" s="15" t="s">
        <v>1724</v>
      </c>
      <c r="E860" s="16" t="s">
        <v>22</v>
      </c>
      <c r="F860" s="17"/>
      <c r="G860" cm="1">
        <f t="array" ref="G860">IFERROR(_xlfn.XLOOKUP(Pedido891011121412131617181921192223[[#This Row],[Id de Producto]],[1]!Precios[[#All],[Id de Producto]],[1]!Precios[[#All],[Coste estándar]])*Pedido891011121412131617181921192223[[#This Row],[Pedido]],0)</f>
        <v>0</v>
      </c>
      <c r="H860" s="18">
        <v>0</v>
      </c>
      <c r="I860" s="16" t="s">
        <v>102</v>
      </c>
      <c r="J860" s="1"/>
      <c r="K860" s="1"/>
      <c r="L860" s="1"/>
      <c r="M860" s="1"/>
    </row>
    <row r="861" spans="1:13" hidden="1" x14ac:dyDescent="0.25">
      <c r="A861" s="1"/>
      <c r="B861" s="15" t="s">
        <v>102</v>
      </c>
      <c r="C861" s="15" t="s">
        <v>1725</v>
      </c>
      <c r="D861" s="15" t="s">
        <v>1726</v>
      </c>
      <c r="E861" s="16" t="s">
        <v>26</v>
      </c>
      <c r="F861" s="17"/>
      <c r="G861" cm="1">
        <f t="array" ref="G861">IFERROR(_xlfn.XLOOKUP(Pedido891011121412131617181921192223[[#This Row],[Id de Producto]],[1]!Precios[[#All],[Id de Producto]],[1]!Precios[[#All],[Coste estándar]])*Pedido891011121412131617181921192223[[#This Row],[Pedido]],0)</f>
        <v>0</v>
      </c>
      <c r="H861" s="15">
        <v>0</v>
      </c>
      <c r="I861" s="15" t="s">
        <v>102</v>
      </c>
      <c r="J861" s="1"/>
      <c r="K861" s="1"/>
      <c r="L861" s="1"/>
      <c r="M861" s="1"/>
    </row>
    <row r="862" spans="1:13" hidden="1" x14ac:dyDescent="0.25">
      <c r="A862" s="1"/>
      <c r="B862" s="16" t="s">
        <v>102</v>
      </c>
      <c r="C862" s="15" t="s">
        <v>1727</v>
      </c>
      <c r="D862" s="15" t="s">
        <v>1728</v>
      </c>
      <c r="E862" s="16" t="s">
        <v>22</v>
      </c>
      <c r="F862" s="17"/>
      <c r="G862" cm="1">
        <f t="array" ref="G862">IFERROR(_xlfn.XLOOKUP(Pedido891011121412131617181921192223[[#This Row],[Id de Producto]],[1]!Precios[[#All],[Id de Producto]],[1]!Precios[[#All],[Coste estándar]])*Pedido891011121412131617181921192223[[#This Row],[Pedido]],0)</f>
        <v>0</v>
      </c>
      <c r="H862" s="18">
        <v>0</v>
      </c>
      <c r="I862" s="16" t="s">
        <v>102</v>
      </c>
      <c r="J862" s="1"/>
      <c r="K862" s="1"/>
      <c r="L862" s="1"/>
      <c r="M862" s="1"/>
    </row>
    <row r="863" spans="1:13" hidden="1" x14ac:dyDescent="0.25">
      <c r="A863" s="1"/>
      <c r="B863" s="16" t="s">
        <v>102</v>
      </c>
      <c r="C863" s="15" t="s">
        <v>1729</v>
      </c>
      <c r="D863" s="15" t="s">
        <v>1730</v>
      </c>
      <c r="E863" s="16" t="s">
        <v>22</v>
      </c>
      <c r="F863" s="17"/>
      <c r="G863" cm="1">
        <f t="array" ref="G863">IFERROR(_xlfn.XLOOKUP(Pedido891011121412131617181921192223[[#This Row],[Id de Producto]],[1]!Precios[[#All],[Id de Producto]],[1]!Precios[[#All],[Coste estándar]])*Pedido891011121412131617181921192223[[#This Row],[Pedido]],0)</f>
        <v>0</v>
      </c>
      <c r="H863" s="18">
        <v>0</v>
      </c>
      <c r="I863" s="16" t="s">
        <v>102</v>
      </c>
      <c r="J863" s="1"/>
      <c r="K863" s="1"/>
      <c r="L863" s="1"/>
      <c r="M863" s="1"/>
    </row>
    <row r="864" spans="1:13" x14ac:dyDescent="0.25">
      <c r="A864" s="1"/>
      <c r="B864" s="15" t="s">
        <v>15</v>
      </c>
      <c r="C864" s="15" t="s">
        <v>1731</v>
      </c>
      <c r="D864" s="15" t="s">
        <v>1732</v>
      </c>
      <c r="E864" s="16" t="s">
        <v>22</v>
      </c>
      <c r="F864" s="17"/>
      <c r="G864" cm="1">
        <f t="array" ref="G864">IFERROR(_xlfn.XLOOKUP(Pedido891011121412131617181921192223[[#This Row],[Id de Producto]],[1]!Precios[[#All],[Id de Producto]],[1]!Precios[[#All],[Coste estándar]])*Pedido891011121412131617181921192223[[#This Row],[Pedido]],0)</f>
        <v>0</v>
      </c>
      <c r="H864" s="15">
        <v>0</v>
      </c>
      <c r="I864" s="15" t="s">
        <v>15</v>
      </c>
      <c r="J864" s="1"/>
      <c r="K864" s="1"/>
      <c r="L864" s="1"/>
      <c r="M864" s="1"/>
    </row>
    <row r="865" spans="1:13" x14ac:dyDescent="0.25">
      <c r="A865" s="1"/>
      <c r="B865" s="16" t="s">
        <v>15</v>
      </c>
      <c r="C865" s="15" t="s">
        <v>1733</v>
      </c>
      <c r="D865" s="15" t="s">
        <v>1734</v>
      </c>
      <c r="E865" s="16" t="s">
        <v>22</v>
      </c>
      <c r="F865" s="17"/>
      <c r="G865" cm="1">
        <f t="array" ref="G865">IFERROR(_xlfn.XLOOKUP(Pedido891011121412131617181921192223[[#This Row],[Id de Producto]],[1]!Precios[[#All],[Id de Producto]],[1]!Precios[[#All],[Coste estándar]])*Pedido891011121412131617181921192223[[#This Row],[Pedido]],0)</f>
        <v>0</v>
      </c>
      <c r="H865" s="18">
        <v>0</v>
      </c>
      <c r="I865" s="16" t="s">
        <v>15</v>
      </c>
      <c r="J865" s="1"/>
      <c r="K865" s="1"/>
      <c r="L865" s="1"/>
      <c r="M865" s="1"/>
    </row>
    <row r="866" spans="1:13" x14ac:dyDescent="0.25">
      <c r="A866" s="1"/>
      <c r="B866" s="16" t="s">
        <v>15</v>
      </c>
      <c r="C866" s="15" t="s">
        <v>1735</v>
      </c>
      <c r="D866" s="15" t="s">
        <v>1736</v>
      </c>
      <c r="E866" s="16" t="s">
        <v>22</v>
      </c>
      <c r="F866" s="17"/>
      <c r="G866" cm="1">
        <f t="array" ref="G866">IFERROR(_xlfn.XLOOKUP(Pedido891011121412131617181921192223[[#This Row],[Id de Producto]],[1]!Precios[[#All],[Id de Producto]],[1]!Precios[[#All],[Coste estándar]])*Pedido891011121412131617181921192223[[#This Row],[Pedido]],0)</f>
        <v>0</v>
      </c>
      <c r="H866" s="18">
        <v>0</v>
      </c>
      <c r="I866" s="16" t="s">
        <v>15</v>
      </c>
      <c r="J866" s="1"/>
      <c r="K866" s="1"/>
      <c r="L866" s="1"/>
      <c r="M866" s="1"/>
    </row>
    <row r="867" spans="1:13" x14ac:dyDescent="0.25">
      <c r="A867" s="1"/>
      <c r="B867" s="16" t="s">
        <v>15</v>
      </c>
      <c r="C867" s="15" t="s">
        <v>1737</v>
      </c>
      <c r="D867" s="15" t="s">
        <v>1738</v>
      </c>
      <c r="E867" s="16" t="s">
        <v>22</v>
      </c>
      <c r="F867" s="17"/>
      <c r="G867" cm="1">
        <f t="array" ref="G867">IFERROR(_xlfn.XLOOKUP(Pedido891011121412131617181921192223[[#This Row],[Id de Producto]],[1]!Precios[[#All],[Id de Producto]],[1]!Precios[[#All],[Coste estándar]])*Pedido891011121412131617181921192223[[#This Row],[Pedido]],0)</f>
        <v>0</v>
      </c>
      <c r="H867" s="18">
        <v>0</v>
      </c>
      <c r="I867" s="16" t="s">
        <v>15</v>
      </c>
      <c r="J867" s="1"/>
      <c r="K867" s="1"/>
      <c r="L867" s="1"/>
      <c r="M867" s="1"/>
    </row>
    <row r="868" spans="1:13" x14ac:dyDescent="0.25">
      <c r="A868" s="1"/>
      <c r="B868" s="16" t="s">
        <v>15</v>
      </c>
      <c r="C868" s="15" t="s">
        <v>1739</v>
      </c>
      <c r="D868" s="15" t="s">
        <v>1740</v>
      </c>
      <c r="E868" s="16" t="s">
        <v>22</v>
      </c>
      <c r="F868" s="17"/>
      <c r="G868" cm="1">
        <f t="array" ref="G868">IFERROR(_xlfn.XLOOKUP(Pedido891011121412131617181921192223[[#This Row],[Id de Producto]],[1]!Precios[[#All],[Id de Producto]],[1]!Precios[[#All],[Coste estándar]])*Pedido891011121412131617181921192223[[#This Row],[Pedido]],0)</f>
        <v>0</v>
      </c>
      <c r="H868" s="18">
        <v>0</v>
      </c>
      <c r="I868" s="16" t="s">
        <v>15</v>
      </c>
      <c r="J868" s="1"/>
      <c r="K868" s="1"/>
      <c r="L868" s="1"/>
      <c r="M868" s="1"/>
    </row>
    <row r="869" spans="1:13" x14ac:dyDescent="0.25">
      <c r="A869" s="1"/>
      <c r="B869" s="16" t="s">
        <v>15</v>
      </c>
      <c r="C869" s="15" t="s">
        <v>1741</v>
      </c>
      <c r="D869" s="15" t="s">
        <v>1742</v>
      </c>
      <c r="E869" s="16" t="s">
        <v>22</v>
      </c>
      <c r="F869" s="17"/>
      <c r="G869" cm="1">
        <f t="array" ref="G869">IFERROR(_xlfn.XLOOKUP(Pedido891011121412131617181921192223[[#This Row],[Id de Producto]],[1]!Precios[[#All],[Id de Producto]],[1]!Precios[[#All],[Coste estándar]])*Pedido891011121412131617181921192223[[#This Row],[Pedido]],0)</f>
        <v>0</v>
      </c>
      <c r="H869" s="18">
        <v>0</v>
      </c>
      <c r="I869" s="16" t="s">
        <v>15</v>
      </c>
      <c r="J869" s="1"/>
      <c r="K869" s="1"/>
      <c r="L869" s="1"/>
      <c r="M869" s="1"/>
    </row>
    <row r="870" spans="1:13" x14ac:dyDescent="0.25">
      <c r="A870" s="1"/>
      <c r="B870" s="16" t="s">
        <v>15</v>
      </c>
      <c r="C870" s="15" t="s">
        <v>1743</v>
      </c>
      <c r="D870" s="15" t="s">
        <v>1744</v>
      </c>
      <c r="E870" s="16" t="s">
        <v>26</v>
      </c>
      <c r="F870" s="17"/>
      <c r="G870" cm="1">
        <f t="array" ref="G870">IFERROR(_xlfn.XLOOKUP(Pedido891011121412131617181921192223[[#This Row],[Id de Producto]],[1]!Precios[[#All],[Id de Producto]],[1]!Precios[[#All],[Coste estándar]])*Pedido891011121412131617181921192223[[#This Row],[Pedido]],0)</f>
        <v>0</v>
      </c>
      <c r="H870" s="18">
        <v>0</v>
      </c>
      <c r="I870" s="16" t="s">
        <v>15</v>
      </c>
      <c r="J870" s="1"/>
      <c r="K870" s="1"/>
      <c r="L870" s="1"/>
      <c r="M870" s="1"/>
    </row>
    <row r="871" spans="1:13" x14ac:dyDescent="0.25">
      <c r="A871" s="1"/>
      <c r="B871" s="16" t="s">
        <v>15</v>
      </c>
      <c r="C871" s="15" t="s">
        <v>1745</v>
      </c>
      <c r="D871" s="15" t="s">
        <v>1746</v>
      </c>
      <c r="E871" s="16" t="s">
        <v>120</v>
      </c>
      <c r="F871" s="17"/>
      <c r="G871" cm="1">
        <f t="array" ref="G871">IFERROR(_xlfn.XLOOKUP(Pedido891011121412131617181921192223[[#This Row],[Id de Producto]],[1]!Precios[[#All],[Id de Producto]],[1]!Precios[[#All],[Coste estándar]])*Pedido891011121412131617181921192223[[#This Row],[Pedido]],0)</f>
        <v>0</v>
      </c>
      <c r="H871" s="18">
        <v>0</v>
      </c>
      <c r="I871" s="16" t="s">
        <v>15</v>
      </c>
      <c r="J871" s="1"/>
      <c r="K871" s="1"/>
      <c r="L871" s="1"/>
      <c r="M871" s="1"/>
    </row>
    <row r="872" spans="1:13" x14ac:dyDescent="0.25">
      <c r="A872" s="1"/>
      <c r="B872" s="16" t="s">
        <v>15</v>
      </c>
      <c r="C872" s="15" t="s">
        <v>1747</v>
      </c>
      <c r="D872" s="15" t="s">
        <v>1748</v>
      </c>
      <c r="E872" s="16" t="s">
        <v>22</v>
      </c>
      <c r="F872" s="17"/>
      <c r="G872" cm="1">
        <f t="array" ref="G872">IFERROR(_xlfn.XLOOKUP(Pedido891011121412131617181921192223[[#This Row],[Id de Producto]],[1]!Precios[[#All],[Id de Producto]],[1]!Precios[[#All],[Coste estándar]])*Pedido891011121412131617181921192223[[#This Row],[Pedido]],0)</f>
        <v>0</v>
      </c>
      <c r="H872" s="18">
        <v>0</v>
      </c>
      <c r="I872" s="16" t="s">
        <v>15</v>
      </c>
      <c r="J872" s="1"/>
      <c r="K872" s="1"/>
      <c r="L872" s="1"/>
      <c r="M872" s="1"/>
    </row>
    <row r="873" spans="1:13" x14ac:dyDescent="0.25">
      <c r="A873" s="1"/>
      <c r="B873" s="16" t="s">
        <v>15</v>
      </c>
      <c r="C873" s="15" t="s">
        <v>1749</v>
      </c>
      <c r="D873" s="15" t="s">
        <v>1750</v>
      </c>
      <c r="E873" s="16" t="s">
        <v>120</v>
      </c>
      <c r="F873" s="17"/>
      <c r="G873" cm="1">
        <f t="array" ref="G873">IFERROR(_xlfn.XLOOKUP(Pedido891011121412131617181921192223[[#This Row],[Id de Producto]],[1]!Precios[[#All],[Id de Producto]],[1]!Precios[[#All],[Coste estándar]])*Pedido891011121412131617181921192223[[#This Row],[Pedido]],0)</f>
        <v>0</v>
      </c>
      <c r="H873" s="18">
        <v>0</v>
      </c>
      <c r="I873" s="16" t="s">
        <v>15</v>
      </c>
      <c r="J873" s="1"/>
      <c r="K873" s="1"/>
      <c r="L873" s="1"/>
      <c r="M873" s="1"/>
    </row>
    <row r="874" spans="1:13" x14ac:dyDescent="0.25">
      <c r="A874" s="1"/>
      <c r="B874" s="16" t="s">
        <v>15</v>
      </c>
      <c r="C874" s="15" t="s">
        <v>1751</v>
      </c>
      <c r="D874" s="15" t="s">
        <v>1752</v>
      </c>
      <c r="E874" s="16" t="s">
        <v>22</v>
      </c>
      <c r="F874" s="17"/>
      <c r="G874" cm="1">
        <f t="array" ref="G874">IFERROR(_xlfn.XLOOKUP(Pedido891011121412131617181921192223[[#This Row],[Id de Producto]],[1]!Precios[[#All],[Id de Producto]],[1]!Precios[[#All],[Coste estándar]])*Pedido891011121412131617181921192223[[#This Row],[Pedido]],0)</f>
        <v>0</v>
      </c>
      <c r="H874" s="18">
        <v>0</v>
      </c>
      <c r="I874" s="16" t="s">
        <v>15</v>
      </c>
      <c r="J874" s="1"/>
      <c r="K874" s="1"/>
      <c r="L874" s="1"/>
      <c r="M874" s="1"/>
    </row>
    <row r="875" spans="1:13" x14ac:dyDescent="0.25">
      <c r="A875" s="1"/>
      <c r="B875" s="16" t="s">
        <v>15</v>
      </c>
      <c r="C875" s="15" t="s">
        <v>1753</v>
      </c>
      <c r="D875" s="15" t="s">
        <v>1754</v>
      </c>
      <c r="E875" s="16" t="s">
        <v>18</v>
      </c>
      <c r="F875" s="17"/>
      <c r="G875" cm="1">
        <f t="array" ref="G875">IFERROR(_xlfn.XLOOKUP(Pedido891011121412131617181921192223[[#This Row],[Id de Producto]],[1]!Precios[[#All],[Id de Producto]],[1]!Precios[[#All],[Coste estándar]])*Pedido891011121412131617181921192223[[#This Row],[Pedido]],0)</f>
        <v>0</v>
      </c>
      <c r="H875" s="18">
        <v>0</v>
      </c>
      <c r="I875" s="16" t="s">
        <v>15</v>
      </c>
      <c r="J875" s="1"/>
      <c r="K875" s="1"/>
      <c r="L875" s="1"/>
      <c r="M875" s="1"/>
    </row>
    <row r="876" spans="1:13" x14ac:dyDescent="0.25">
      <c r="A876" s="1"/>
      <c r="B876" s="16" t="s">
        <v>15</v>
      </c>
      <c r="C876" s="15" t="s">
        <v>1755</v>
      </c>
      <c r="D876" s="15" t="s">
        <v>1756</v>
      </c>
      <c r="E876" s="16" t="s">
        <v>22</v>
      </c>
      <c r="F876" s="17"/>
      <c r="G876" cm="1">
        <f t="array" ref="G876">IFERROR(_xlfn.XLOOKUP(Pedido891011121412131617181921192223[[#This Row],[Id de Producto]],[1]!Precios[[#All],[Id de Producto]],[1]!Precios[[#All],[Coste estándar]])*Pedido891011121412131617181921192223[[#This Row],[Pedido]],0)</f>
        <v>0</v>
      </c>
      <c r="H876" s="18">
        <v>0</v>
      </c>
      <c r="I876" s="16" t="s">
        <v>15</v>
      </c>
      <c r="J876" s="1"/>
      <c r="K876" s="1"/>
      <c r="L876" s="1"/>
      <c r="M876" s="1"/>
    </row>
    <row r="877" spans="1:13" x14ac:dyDescent="0.25">
      <c r="A877" s="1"/>
      <c r="B877" s="16" t="s">
        <v>15</v>
      </c>
      <c r="C877" s="15" t="s">
        <v>1757</v>
      </c>
      <c r="D877" s="15" t="s">
        <v>1758</v>
      </c>
      <c r="E877" s="16" t="s">
        <v>22</v>
      </c>
      <c r="F877" s="17"/>
      <c r="G877" cm="1">
        <f t="array" ref="G877">IFERROR(_xlfn.XLOOKUP(Pedido891011121412131617181921192223[[#This Row],[Id de Producto]],[1]!Precios[[#All],[Id de Producto]],[1]!Precios[[#All],[Coste estándar]])*Pedido891011121412131617181921192223[[#This Row],[Pedido]],0)</f>
        <v>0</v>
      </c>
      <c r="H877" s="18">
        <v>0</v>
      </c>
      <c r="I877" s="16" t="s">
        <v>15</v>
      </c>
      <c r="J877" s="1"/>
      <c r="K877" s="1"/>
      <c r="L877" s="1"/>
      <c r="M877" s="1"/>
    </row>
    <row r="878" spans="1:13" x14ac:dyDescent="0.25">
      <c r="A878" s="1"/>
      <c r="B878" s="16" t="s">
        <v>15</v>
      </c>
      <c r="C878" s="15" t="s">
        <v>1759</v>
      </c>
      <c r="D878" s="15" t="s">
        <v>1760</v>
      </c>
      <c r="E878" s="16" t="s">
        <v>18</v>
      </c>
      <c r="F878" s="17"/>
      <c r="G878" cm="1">
        <f t="array" ref="G878">IFERROR(_xlfn.XLOOKUP(Pedido891011121412131617181921192223[[#This Row],[Id de Producto]],[1]!Precios[[#All],[Id de Producto]],[1]!Precios[[#All],[Coste estándar]])*Pedido891011121412131617181921192223[[#This Row],[Pedido]],0)</f>
        <v>0</v>
      </c>
      <c r="H878" s="18">
        <v>0</v>
      </c>
      <c r="I878" s="16" t="s">
        <v>15</v>
      </c>
      <c r="J878" s="1"/>
      <c r="K878" s="1"/>
      <c r="L878" s="1"/>
      <c r="M878" s="1"/>
    </row>
    <row r="879" spans="1:13" ht="15.75" x14ac:dyDescent="0.25">
      <c r="A879" s="1"/>
      <c r="B879" s="15" t="s">
        <v>15</v>
      </c>
      <c r="C879" s="12" t="s">
        <v>1761</v>
      </c>
      <c r="D879" s="15" t="s">
        <v>1762</v>
      </c>
      <c r="E879" s="15" t="s">
        <v>22</v>
      </c>
      <c r="F879" s="17"/>
      <c r="G879" cm="1">
        <f t="array" ref="G879">IFERROR(_xlfn.XLOOKUP(Pedido891011121412131617181921192223[[#This Row],[Id de Producto]],[1]!Precios[[#All],[Id de Producto]],[1]!Precios[[#All],[Coste estándar]])*Pedido891011121412131617181921192223[[#This Row],[Pedido]],0)</f>
        <v>0</v>
      </c>
      <c r="H879" s="18">
        <v>0</v>
      </c>
      <c r="I879" s="16" t="s">
        <v>15</v>
      </c>
      <c r="J879" s="1"/>
      <c r="K879" s="1"/>
      <c r="L879" s="1"/>
      <c r="M879" s="1"/>
    </row>
    <row r="880" spans="1:13" x14ac:dyDescent="0.25">
      <c r="A880" s="1"/>
      <c r="B880" s="16" t="s">
        <v>15</v>
      </c>
      <c r="C880" s="15" t="s">
        <v>1763</v>
      </c>
      <c r="D880" s="15" t="s">
        <v>1764</v>
      </c>
      <c r="E880" s="16" t="s">
        <v>26</v>
      </c>
      <c r="F880" s="17"/>
      <c r="G880" cm="1">
        <f t="array" ref="G880">IFERROR(_xlfn.XLOOKUP(Pedido891011121412131617181921192223[[#This Row],[Id de Producto]],[1]!Precios[[#All],[Id de Producto]],[1]!Precios[[#All],[Coste estándar]])*Pedido891011121412131617181921192223[[#This Row],[Pedido]],0)</f>
        <v>0</v>
      </c>
      <c r="H880" s="18">
        <v>0</v>
      </c>
      <c r="I880" s="16" t="s">
        <v>15</v>
      </c>
      <c r="J880" s="1"/>
      <c r="K880" s="1"/>
      <c r="L880" s="1"/>
      <c r="M880" s="1"/>
    </row>
    <row r="881" spans="1:13" x14ac:dyDescent="0.25">
      <c r="A881" s="1"/>
      <c r="B881" s="16" t="s">
        <v>15</v>
      </c>
      <c r="C881" s="15" t="s">
        <v>1765</v>
      </c>
      <c r="D881" s="15" t="s">
        <v>1766</v>
      </c>
      <c r="E881" s="16" t="s">
        <v>22</v>
      </c>
      <c r="F881" s="17"/>
      <c r="G881" cm="1">
        <f t="array" ref="G881">IFERROR(_xlfn.XLOOKUP(Pedido891011121412131617181921192223[[#This Row],[Id de Producto]],[1]!Precios[[#All],[Id de Producto]],[1]!Precios[[#All],[Coste estándar]])*Pedido891011121412131617181921192223[[#This Row],[Pedido]],0)</f>
        <v>0</v>
      </c>
      <c r="H881" s="18">
        <v>0</v>
      </c>
      <c r="I881" s="16" t="s">
        <v>15</v>
      </c>
      <c r="J881" s="1"/>
      <c r="K881" s="1"/>
      <c r="L881" s="1"/>
      <c r="M881" s="1"/>
    </row>
    <row r="882" spans="1:13" x14ac:dyDescent="0.25">
      <c r="A882" s="1"/>
      <c r="B882" s="16" t="s">
        <v>15</v>
      </c>
      <c r="C882" s="22" t="s">
        <v>1767</v>
      </c>
      <c r="D882" s="22" t="s">
        <v>1768</v>
      </c>
      <c r="E882" s="22" t="s">
        <v>18</v>
      </c>
      <c r="F882" s="17"/>
      <c r="G882" cm="1">
        <f t="array" ref="G882">IFERROR(_xlfn.XLOOKUP(Pedido891011121412131617181921192223[[#This Row],[Id de Producto]],[1]!Precios[[#All],[Id de Producto]],[1]!Precios[[#All],[Coste estándar]])*Pedido891011121412131617181921192223[[#This Row],[Pedido]],0)</f>
        <v>0</v>
      </c>
      <c r="H882" s="15">
        <v>0</v>
      </c>
      <c r="I882" s="16" t="s">
        <v>15</v>
      </c>
      <c r="J882" s="1"/>
      <c r="K882" s="1"/>
      <c r="L882" s="1"/>
      <c r="M882" s="1"/>
    </row>
    <row r="883" spans="1:13" x14ac:dyDescent="0.25">
      <c r="A883" s="1"/>
      <c r="B883" s="16" t="s">
        <v>15</v>
      </c>
      <c r="C883" s="15" t="s">
        <v>1769</v>
      </c>
      <c r="D883" s="15" t="s">
        <v>1770</v>
      </c>
      <c r="E883" s="16" t="s">
        <v>26</v>
      </c>
      <c r="F883" s="17"/>
      <c r="G883" cm="1">
        <f t="array" ref="G883">IFERROR(_xlfn.XLOOKUP(Pedido891011121412131617181921192223[[#This Row],[Id de Producto]],[1]!Precios[[#All],[Id de Producto]],[1]!Precios[[#All],[Coste estándar]])*Pedido891011121412131617181921192223[[#This Row],[Pedido]],0)</f>
        <v>0</v>
      </c>
      <c r="H883" s="18">
        <v>0</v>
      </c>
      <c r="I883" s="16" t="s">
        <v>15</v>
      </c>
      <c r="J883" s="1"/>
      <c r="K883" s="1"/>
      <c r="L883" s="1"/>
      <c r="M883" s="1"/>
    </row>
    <row r="884" spans="1:13" x14ac:dyDescent="0.25">
      <c r="A884" s="1"/>
      <c r="B884" s="16" t="s">
        <v>15</v>
      </c>
      <c r="C884" s="15" t="s">
        <v>1771</v>
      </c>
      <c r="D884" s="15" t="s">
        <v>1772</v>
      </c>
      <c r="E884" s="16" t="s">
        <v>18</v>
      </c>
      <c r="F884" s="17"/>
      <c r="G884" cm="1">
        <f t="array" ref="G884">IFERROR(_xlfn.XLOOKUP(Pedido891011121412131617181921192223[[#This Row],[Id de Producto]],[1]!Precios[[#All],[Id de Producto]],[1]!Precios[[#All],[Coste estándar]])*Pedido891011121412131617181921192223[[#This Row],[Pedido]],0)</f>
        <v>0</v>
      </c>
      <c r="H884" s="18">
        <v>0</v>
      </c>
      <c r="I884" s="16" t="s">
        <v>15</v>
      </c>
      <c r="J884" s="1"/>
      <c r="K884" s="1"/>
      <c r="L884" s="1"/>
      <c r="M884" s="1"/>
    </row>
    <row r="885" spans="1:13" x14ac:dyDescent="0.25">
      <c r="A885" s="1"/>
      <c r="B885" s="15" t="s">
        <v>15</v>
      </c>
      <c r="C885" s="15" t="s">
        <v>1773</v>
      </c>
      <c r="D885" s="15" t="s">
        <v>1774</v>
      </c>
      <c r="E885" s="15" t="s">
        <v>26</v>
      </c>
      <c r="F885" s="17"/>
      <c r="G885" cm="1">
        <f t="array" ref="G885">IFERROR(_xlfn.XLOOKUP(Pedido891011121412131617181921192223[[#This Row],[Id de Producto]],[1]!Precios[[#All],[Id de Producto]],[1]!Precios[[#All],[Coste estándar]])*Pedido891011121412131617181921192223[[#This Row],[Pedido]],0)</f>
        <v>0</v>
      </c>
      <c r="H885" s="15">
        <v>0</v>
      </c>
      <c r="I885" s="16" t="s">
        <v>15</v>
      </c>
      <c r="J885" s="1"/>
      <c r="K885" s="1"/>
      <c r="L885" s="1"/>
      <c r="M885" s="1"/>
    </row>
    <row r="886" spans="1:13" x14ac:dyDescent="0.25">
      <c r="A886" s="1"/>
      <c r="B886" s="16" t="s">
        <v>15</v>
      </c>
      <c r="C886" s="15" t="s">
        <v>1775</v>
      </c>
      <c r="D886" s="15" t="s">
        <v>1776</v>
      </c>
      <c r="E886" s="16" t="s">
        <v>26</v>
      </c>
      <c r="F886" s="17"/>
      <c r="G886" cm="1">
        <f t="array" ref="G886">IFERROR(_xlfn.XLOOKUP(Pedido891011121412131617181921192223[[#This Row],[Id de Producto]],[1]!Precios[[#All],[Id de Producto]],[1]!Precios[[#All],[Coste estándar]])*Pedido891011121412131617181921192223[[#This Row],[Pedido]],0)</f>
        <v>0</v>
      </c>
      <c r="H886" s="18">
        <v>0</v>
      </c>
      <c r="I886" s="16" t="s">
        <v>15</v>
      </c>
      <c r="J886" s="1"/>
      <c r="K886" s="1"/>
      <c r="L886" s="1"/>
      <c r="M886" s="1"/>
    </row>
    <row r="887" spans="1:13" x14ac:dyDescent="0.25">
      <c r="A887" s="1"/>
      <c r="B887" s="16" t="s">
        <v>15</v>
      </c>
      <c r="C887" s="15" t="s">
        <v>1777</v>
      </c>
      <c r="D887" s="15" t="s">
        <v>1778</v>
      </c>
      <c r="E887" s="16" t="s">
        <v>18</v>
      </c>
      <c r="F887" s="17"/>
      <c r="G887" cm="1">
        <f t="array" ref="G887">IFERROR(_xlfn.XLOOKUP(Pedido891011121412131617181921192223[[#This Row],[Id de Producto]],[1]!Precios[[#All],[Id de Producto]],[1]!Precios[[#All],[Coste estándar]])*Pedido891011121412131617181921192223[[#This Row],[Pedido]],0)</f>
        <v>0</v>
      </c>
      <c r="H887" s="18">
        <v>0</v>
      </c>
      <c r="I887" s="16" t="s">
        <v>15</v>
      </c>
      <c r="J887" s="1"/>
      <c r="K887" s="1"/>
      <c r="L887" s="1"/>
      <c r="M887" s="1"/>
    </row>
    <row r="888" spans="1:13" x14ac:dyDescent="0.25">
      <c r="A888" s="1"/>
      <c r="B888" s="16" t="s">
        <v>15</v>
      </c>
      <c r="C888" s="15" t="s">
        <v>1779</v>
      </c>
      <c r="D888" s="15" t="s">
        <v>1780</v>
      </c>
      <c r="E888" s="16" t="s">
        <v>18</v>
      </c>
      <c r="F888" s="17"/>
      <c r="G888" cm="1">
        <f t="array" ref="G888">IFERROR(_xlfn.XLOOKUP(Pedido891011121412131617181921192223[[#This Row],[Id de Producto]],[1]!Precios[[#All],[Id de Producto]],[1]!Precios[[#All],[Coste estándar]])*Pedido891011121412131617181921192223[[#This Row],[Pedido]],0)</f>
        <v>0</v>
      </c>
      <c r="H888" s="18">
        <v>0</v>
      </c>
      <c r="I888" s="16" t="s">
        <v>15</v>
      </c>
      <c r="J888" s="1"/>
      <c r="K888" s="1"/>
      <c r="L888" s="1"/>
      <c r="M888" s="1"/>
    </row>
    <row r="889" spans="1:13" x14ac:dyDescent="0.25">
      <c r="A889" s="1"/>
      <c r="B889" s="16" t="s">
        <v>15</v>
      </c>
      <c r="C889" s="15" t="s">
        <v>1781</v>
      </c>
      <c r="D889" s="15" t="s">
        <v>1782</v>
      </c>
      <c r="E889" s="16" t="s">
        <v>26</v>
      </c>
      <c r="F889" s="17"/>
      <c r="G889" cm="1">
        <f t="array" ref="G889">IFERROR(_xlfn.XLOOKUP(Pedido891011121412131617181921192223[[#This Row],[Id de Producto]],[1]!Precios[[#All],[Id de Producto]],[1]!Precios[[#All],[Coste estándar]])*Pedido891011121412131617181921192223[[#This Row],[Pedido]],0)</f>
        <v>0</v>
      </c>
      <c r="H889" s="18">
        <v>0</v>
      </c>
      <c r="I889" s="16" t="s">
        <v>15</v>
      </c>
      <c r="J889" s="1"/>
      <c r="K889" s="1"/>
      <c r="L889" s="1"/>
      <c r="M889" s="1"/>
    </row>
    <row r="890" spans="1:13" x14ac:dyDescent="0.25">
      <c r="A890" s="1"/>
      <c r="B890" s="16" t="s">
        <v>15</v>
      </c>
      <c r="C890" s="15" t="s">
        <v>1783</v>
      </c>
      <c r="D890" s="15" t="s">
        <v>1784</v>
      </c>
      <c r="E890" s="16" t="s">
        <v>120</v>
      </c>
      <c r="F890" s="17"/>
      <c r="G890" cm="1">
        <f t="array" ref="G890">IFERROR(_xlfn.XLOOKUP(Pedido891011121412131617181921192223[[#This Row],[Id de Producto]],[1]!Precios[[#All],[Id de Producto]],[1]!Precios[[#All],[Coste estándar]])*Pedido891011121412131617181921192223[[#This Row],[Pedido]],0)</f>
        <v>0</v>
      </c>
      <c r="H890" s="18">
        <v>0</v>
      </c>
      <c r="I890" s="16" t="s">
        <v>15</v>
      </c>
      <c r="J890" s="1"/>
      <c r="K890" s="1"/>
      <c r="L890" s="1"/>
      <c r="M890" s="1"/>
    </row>
    <row r="891" spans="1:13" x14ac:dyDescent="0.25">
      <c r="A891" s="1"/>
      <c r="B891" s="16" t="s">
        <v>15</v>
      </c>
      <c r="C891" s="15" t="s">
        <v>1785</v>
      </c>
      <c r="D891" s="15" t="s">
        <v>1786</v>
      </c>
      <c r="E891" s="16" t="s">
        <v>22</v>
      </c>
      <c r="F891" s="17"/>
      <c r="G891" cm="1">
        <f t="array" ref="G891">IFERROR(_xlfn.XLOOKUP(Pedido891011121412131617181921192223[[#This Row],[Id de Producto]],[1]!Precios[[#All],[Id de Producto]],[1]!Precios[[#All],[Coste estándar]])*Pedido891011121412131617181921192223[[#This Row],[Pedido]],0)</f>
        <v>0</v>
      </c>
      <c r="H891" s="18">
        <v>0</v>
      </c>
      <c r="I891" s="16" t="s">
        <v>15</v>
      </c>
      <c r="J891" s="1"/>
      <c r="K891" s="1"/>
      <c r="L891" s="1"/>
      <c r="M891" s="1"/>
    </row>
    <row r="892" spans="1:13" x14ac:dyDescent="0.25">
      <c r="A892" s="1"/>
      <c r="B892" s="16" t="s">
        <v>15</v>
      </c>
      <c r="C892" s="15" t="s">
        <v>1787</v>
      </c>
      <c r="D892" s="15" t="s">
        <v>1788</v>
      </c>
      <c r="E892" s="16" t="s">
        <v>18</v>
      </c>
      <c r="F892" s="17"/>
      <c r="G892" cm="1">
        <f t="array" ref="G892">IFERROR(_xlfn.XLOOKUP(Pedido891011121412131617181921192223[[#This Row],[Id de Producto]],[1]!Precios[[#All],[Id de Producto]],[1]!Precios[[#All],[Coste estándar]])*Pedido891011121412131617181921192223[[#This Row],[Pedido]],0)</f>
        <v>0</v>
      </c>
      <c r="H892" s="18">
        <v>0</v>
      </c>
      <c r="I892" s="16" t="s">
        <v>15</v>
      </c>
      <c r="J892" s="1"/>
      <c r="K892" s="1"/>
      <c r="L892" s="1"/>
      <c r="M892" s="1"/>
    </row>
    <row r="893" spans="1:13" x14ac:dyDescent="0.25">
      <c r="A893" s="1"/>
      <c r="B893" s="15" t="s">
        <v>15</v>
      </c>
      <c r="C893" s="15" t="s">
        <v>1789</v>
      </c>
      <c r="D893" s="15" t="s">
        <v>1790</v>
      </c>
      <c r="E893" s="16" t="s">
        <v>22</v>
      </c>
      <c r="F893" s="17"/>
      <c r="G893" cm="1">
        <f t="array" ref="G893">IFERROR(_xlfn.XLOOKUP(Pedido891011121412131617181921192223[[#This Row],[Id de Producto]],[1]!Precios[[#All],[Id de Producto]],[1]!Precios[[#All],[Coste estándar]])*Pedido891011121412131617181921192223[[#This Row],[Pedido]],0)</f>
        <v>0</v>
      </c>
      <c r="H893" s="15">
        <v>0</v>
      </c>
      <c r="I893" s="15" t="s">
        <v>15</v>
      </c>
      <c r="J893" s="1"/>
      <c r="K893" s="1"/>
      <c r="L893" s="1"/>
      <c r="M893" s="1"/>
    </row>
    <row r="894" spans="1:13" x14ac:dyDescent="0.25">
      <c r="A894" s="1"/>
      <c r="B894" s="15" t="s">
        <v>15</v>
      </c>
      <c r="C894" s="15" t="s">
        <v>1791</v>
      </c>
      <c r="D894" s="15" t="s">
        <v>1792</v>
      </c>
      <c r="E894" s="16" t="s">
        <v>22</v>
      </c>
      <c r="F894" s="17"/>
      <c r="G894" cm="1">
        <f t="array" ref="G894">IFERROR(_xlfn.XLOOKUP(Pedido891011121412131617181921192223[[#This Row],[Id de Producto]],[1]!Precios[[#All],[Id de Producto]],[1]!Precios[[#All],[Coste estándar]])*Pedido891011121412131617181921192223[[#This Row],[Pedido]],0)</f>
        <v>0</v>
      </c>
      <c r="H894" s="15">
        <v>0</v>
      </c>
      <c r="I894" s="15" t="s">
        <v>15</v>
      </c>
      <c r="J894" s="1"/>
      <c r="K894" s="1"/>
      <c r="L894" s="1"/>
      <c r="M894" s="1"/>
    </row>
    <row r="895" spans="1:13" x14ac:dyDescent="0.25">
      <c r="A895" s="1"/>
      <c r="B895" s="15" t="s">
        <v>15</v>
      </c>
      <c r="C895" s="15" t="s">
        <v>1793</v>
      </c>
      <c r="D895" s="15" t="s">
        <v>1794</v>
      </c>
      <c r="E895" s="16" t="s">
        <v>22</v>
      </c>
      <c r="F895" s="17"/>
      <c r="G895" cm="1">
        <f t="array" ref="G895">IFERROR(_xlfn.XLOOKUP(Pedido891011121412131617181921192223[[#This Row],[Id de Producto]],[1]!Precios[[#All],[Id de Producto]],[1]!Precios[[#All],[Coste estándar]])*Pedido891011121412131617181921192223[[#This Row],[Pedido]],0)</f>
        <v>0</v>
      </c>
      <c r="H895" s="15">
        <v>0</v>
      </c>
      <c r="I895" s="15" t="s">
        <v>15</v>
      </c>
      <c r="J895" s="1"/>
      <c r="K895" s="1"/>
      <c r="L895" s="1"/>
      <c r="M895" s="1"/>
    </row>
    <row r="896" spans="1:13" x14ac:dyDescent="0.25">
      <c r="A896" s="1"/>
      <c r="B896" s="16" t="s">
        <v>15</v>
      </c>
      <c r="C896" s="15" t="s">
        <v>1795</v>
      </c>
      <c r="D896" s="15" t="s">
        <v>1796</v>
      </c>
      <c r="E896" s="16" t="s">
        <v>26</v>
      </c>
      <c r="F896" s="17"/>
      <c r="G896" cm="1">
        <f t="array" ref="G896">IFERROR(_xlfn.XLOOKUP(Pedido891011121412131617181921192223[[#This Row],[Id de Producto]],[1]!Precios[[#All],[Id de Producto]],[1]!Precios[[#All],[Coste estándar]])*Pedido891011121412131617181921192223[[#This Row],[Pedido]],0)</f>
        <v>0</v>
      </c>
      <c r="H896" s="18">
        <v>0</v>
      </c>
      <c r="I896" s="16" t="s">
        <v>15</v>
      </c>
      <c r="J896" s="1"/>
      <c r="K896" s="1"/>
      <c r="L896" s="1"/>
      <c r="M896" s="1"/>
    </row>
    <row r="897" spans="1:13" x14ac:dyDescent="0.25">
      <c r="A897" s="1"/>
      <c r="B897" s="15" t="s">
        <v>15</v>
      </c>
      <c r="C897" s="15" t="s">
        <v>1797</v>
      </c>
      <c r="D897" s="15" t="s">
        <v>1798</v>
      </c>
      <c r="E897" s="16" t="s">
        <v>26</v>
      </c>
      <c r="F897" s="17"/>
      <c r="G897" cm="1">
        <f t="array" ref="G897">IFERROR(_xlfn.XLOOKUP(Pedido891011121412131617181921192223[[#This Row],[Id de Producto]],[1]!Precios[[#All],[Id de Producto]],[1]!Precios[[#All],[Coste estándar]])*Pedido891011121412131617181921192223[[#This Row],[Pedido]],0)</f>
        <v>0</v>
      </c>
      <c r="H897" s="15">
        <v>0</v>
      </c>
      <c r="I897" s="15" t="s">
        <v>15</v>
      </c>
      <c r="J897" s="1"/>
      <c r="K897" s="1"/>
      <c r="L897" s="1"/>
      <c r="M897" s="1"/>
    </row>
    <row r="898" spans="1:13" x14ac:dyDescent="0.25">
      <c r="A898" s="1"/>
      <c r="B898" s="15" t="s">
        <v>15</v>
      </c>
      <c r="C898" s="15" t="s">
        <v>1799</v>
      </c>
      <c r="D898" s="15" t="s">
        <v>1800</v>
      </c>
      <c r="E898" s="16" t="s">
        <v>26</v>
      </c>
      <c r="F898" s="17"/>
      <c r="G898" cm="1">
        <f t="array" ref="G898">IFERROR(_xlfn.XLOOKUP(Pedido891011121412131617181921192223[[#This Row],[Id de Producto]],[1]!Precios[[#All],[Id de Producto]],[1]!Precios[[#All],[Coste estándar]])*Pedido891011121412131617181921192223[[#This Row],[Pedido]],0)</f>
        <v>0</v>
      </c>
      <c r="H898" s="15">
        <v>0</v>
      </c>
      <c r="I898" s="15" t="s">
        <v>15</v>
      </c>
      <c r="J898" s="1"/>
      <c r="K898" s="1"/>
      <c r="L898" s="1"/>
      <c r="M898" s="1"/>
    </row>
    <row r="899" spans="1:13" x14ac:dyDescent="0.25">
      <c r="A899" s="1"/>
      <c r="B899" s="15" t="s">
        <v>15</v>
      </c>
      <c r="C899" s="15" t="s">
        <v>1801</v>
      </c>
      <c r="D899" s="15" t="s">
        <v>1802</v>
      </c>
      <c r="E899" s="16" t="s">
        <v>26</v>
      </c>
      <c r="F899" s="17"/>
      <c r="G899" cm="1">
        <f t="array" ref="G899">IFERROR(_xlfn.XLOOKUP(Pedido891011121412131617181921192223[[#This Row],[Id de Producto]],[1]!Precios[[#All],[Id de Producto]],[1]!Precios[[#All],[Coste estándar]])*Pedido891011121412131617181921192223[[#This Row],[Pedido]],0)</f>
        <v>0</v>
      </c>
      <c r="H899" s="15">
        <v>0</v>
      </c>
      <c r="I899" s="15" t="s">
        <v>15</v>
      </c>
      <c r="J899" s="1"/>
      <c r="K899" s="1"/>
      <c r="L899" s="1"/>
      <c r="M899" s="1"/>
    </row>
    <row r="900" spans="1:13" x14ac:dyDescent="0.25">
      <c r="A900" s="1"/>
      <c r="B900" s="16" t="s">
        <v>15</v>
      </c>
      <c r="C900" s="15" t="s">
        <v>1803</v>
      </c>
      <c r="D900" s="15" t="s">
        <v>1804</v>
      </c>
      <c r="E900" s="16" t="s">
        <v>26</v>
      </c>
      <c r="F900" s="17"/>
      <c r="G900" cm="1">
        <f t="array" ref="G900">IFERROR(_xlfn.XLOOKUP(Pedido891011121412131617181921192223[[#This Row],[Id de Producto]],[1]!Precios[[#All],[Id de Producto]],[1]!Precios[[#All],[Coste estándar]])*Pedido891011121412131617181921192223[[#This Row],[Pedido]],0)</f>
        <v>0</v>
      </c>
      <c r="H900" s="18">
        <v>0</v>
      </c>
      <c r="I900" s="16" t="s">
        <v>15</v>
      </c>
      <c r="J900" s="1"/>
      <c r="K900" s="1"/>
      <c r="L900" s="1"/>
      <c r="M900" s="1"/>
    </row>
    <row r="901" spans="1:13" x14ac:dyDescent="0.25">
      <c r="A901" s="1"/>
      <c r="B901" s="16" t="s">
        <v>15</v>
      </c>
      <c r="C901" s="15" t="s">
        <v>1805</v>
      </c>
      <c r="D901" s="15" t="s">
        <v>1806</v>
      </c>
      <c r="E901" s="16" t="s">
        <v>26</v>
      </c>
      <c r="F901" s="17"/>
      <c r="G901" cm="1">
        <f t="array" ref="G901">IFERROR(_xlfn.XLOOKUP(Pedido891011121412131617181921192223[[#This Row],[Id de Producto]],[1]!Precios[[#All],[Id de Producto]],[1]!Precios[[#All],[Coste estándar]])*Pedido891011121412131617181921192223[[#This Row],[Pedido]],0)</f>
        <v>0</v>
      </c>
      <c r="H901" s="18">
        <v>0</v>
      </c>
      <c r="I901" s="16" t="s">
        <v>15</v>
      </c>
      <c r="J901" s="1"/>
      <c r="K901" s="1"/>
      <c r="L901" s="1"/>
      <c r="M901" s="1"/>
    </row>
    <row r="902" spans="1:13" x14ac:dyDescent="0.25">
      <c r="A902" s="1"/>
      <c r="B902" s="16" t="s">
        <v>15</v>
      </c>
      <c r="C902" s="15" t="s">
        <v>1807</v>
      </c>
      <c r="D902" s="15" t="s">
        <v>1808</v>
      </c>
      <c r="E902" s="16" t="s">
        <v>18</v>
      </c>
      <c r="F902" s="17"/>
      <c r="G902" cm="1">
        <f t="array" ref="G902">IFERROR(_xlfn.XLOOKUP(Pedido891011121412131617181921192223[[#This Row],[Id de Producto]],[1]!Precios[[#All],[Id de Producto]],[1]!Precios[[#All],[Coste estándar]])*Pedido891011121412131617181921192223[[#This Row],[Pedido]],0)</f>
        <v>0</v>
      </c>
      <c r="H902" s="18">
        <v>0</v>
      </c>
      <c r="I902" s="16" t="s">
        <v>15</v>
      </c>
      <c r="J902" s="1"/>
      <c r="K902" s="1"/>
      <c r="L902" s="1"/>
      <c r="M902" s="1"/>
    </row>
    <row r="903" spans="1:13" x14ac:dyDescent="0.25">
      <c r="A903" s="1"/>
      <c r="B903" s="15" t="s">
        <v>15</v>
      </c>
      <c r="C903" s="15" t="s">
        <v>1809</v>
      </c>
      <c r="D903" s="15" t="s">
        <v>1810</v>
      </c>
      <c r="E903" s="15" t="s">
        <v>22</v>
      </c>
      <c r="F903" s="17"/>
      <c r="G903" cm="1">
        <f t="array" ref="G903">IFERROR(_xlfn.XLOOKUP(Pedido891011121412131617181921192223[[#This Row],[Id de Producto]],[1]!Precios[[#All],[Id de Producto]],[1]!Precios[[#All],[Coste estándar]])*Pedido891011121412131617181921192223[[#This Row],[Pedido]],0)</f>
        <v>0</v>
      </c>
      <c r="H903" s="18">
        <v>0</v>
      </c>
      <c r="I903" s="16" t="s">
        <v>15</v>
      </c>
      <c r="J903" s="1"/>
      <c r="K903" s="1"/>
      <c r="L903" s="1"/>
      <c r="M903" s="1"/>
    </row>
    <row r="904" spans="1:13" x14ac:dyDescent="0.25">
      <c r="A904" s="1"/>
      <c r="B904" s="16" t="s">
        <v>15</v>
      </c>
      <c r="C904" s="15" t="s">
        <v>1811</v>
      </c>
      <c r="D904" s="15" t="s">
        <v>1812</v>
      </c>
      <c r="E904" s="16" t="s">
        <v>22</v>
      </c>
      <c r="F904" s="17"/>
      <c r="G904" cm="1">
        <f t="array" ref="G904">IFERROR(_xlfn.XLOOKUP(Pedido891011121412131617181921192223[[#This Row],[Id de Producto]],[1]!Precios[[#All],[Id de Producto]],[1]!Precios[[#All],[Coste estándar]])*Pedido891011121412131617181921192223[[#This Row],[Pedido]],0)</f>
        <v>0</v>
      </c>
      <c r="H904" s="18">
        <v>0</v>
      </c>
      <c r="I904" s="16" t="s">
        <v>15</v>
      </c>
      <c r="J904" s="1"/>
      <c r="K904" s="1"/>
      <c r="L904" s="1"/>
      <c r="M904" s="1"/>
    </row>
    <row r="905" spans="1:13" x14ac:dyDescent="0.25">
      <c r="A905" s="1"/>
      <c r="B905" s="16" t="s">
        <v>15</v>
      </c>
      <c r="C905" s="15" t="s">
        <v>1813</v>
      </c>
      <c r="D905" s="15" t="s">
        <v>1814</v>
      </c>
      <c r="E905" s="16" t="s">
        <v>26</v>
      </c>
      <c r="F905" s="17"/>
      <c r="G905" cm="1">
        <f t="array" ref="G905">IFERROR(_xlfn.XLOOKUP(Pedido891011121412131617181921192223[[#This Row],[Id de Producto]],[1]!Precios[[#All],[Id de Producto]],[1]!Precios[[#All],[Coste estándar]])*Pedido891011121412131617181921192223[[#This Row],[Pedido]],0)</f>
        <v>0</v>
      </c>
      <c r="H905" s="18">
        <v>0</v>
      </c>
      <c r="I905" s="16" t="s">
        <v>15</v>
      </c>
      <c r="J905" s="1"/>
      <c r="K905" s="1"/>
      <c r="L905" s="1"/>
      <c r="M905" s="1"/>
    </row>
    <row r="906" spans="1:13" x14ac:dyDescent="0.25">
      <c r="A906" s="1"/>
      <c r="B906" s="16" t="s">
        <v>15</v>
      </c>
      <c r="C906" s="15" t="s">
        <v>1815</v>
      </c>
      <c r="D906" s="15" t="s">
        <v>1816</v>
      </c>
      <c r="E906" s="16" t="s">
        <v>120</v>
      </c>
      <c r="F906" s="17"/>
      <c r="G906" cm="1">
        <f t="array" ref="G906">IFERROR(_xlfn.XLOOKUP(Pedido891011121412131617181921192223[[#This Row],[Id de Producto]],[1]!Precios[[#All],[Id de Producto]],[1]!Precios[[#All],[Coste estándar]])*Pedido891011121412131617181921192223[[#This Row],[Pedido]],0)</f>
        <v>0</v>
      </c>
      <c r="H906" s="18">
        <v>0</v>
      </c>
      <c r="I906" s="16" t="s">
        <v>15</v>
      </c>
      <c r="J906" s="1"/>
      <c r="K906" s="1"/>
      <c r="L906" s="1"/>
      <c r="M906" s="1"/>
    </row>
    <row r="907" spans="1:13" x14ac:dyDescent="0.25">
      <c r="A907" s="1"/>
      <c r="B907" s="15" t="s">
        <v>15</v>
      </c>
      <c r="C907" s="15" t="s">
        <v>1817</v>
      </c>
      <c r="D907" s="15" t="s">
        <v>1818</v>
      </c>
      <c r="E907" s="16" t="s">
        <v>22</v>
      </c>
      <c r="F907" s="17"/>
      <c r="G907" cm="1">
        <f t="array" ref="G907">IFERROR(_xlfn.XLOOKUP(Pedido891011121412131617181921192223[[#This Row],[Id de Producto]],[1]!Precios[[#All],[Id de Producto]],[1]!Precios[[#All],[Coste estándar]])*Pedido891011121412131617181921192223[[#This Row],[Pedido]],0)</f>
        <v>0</v>
      </c>
      <c r="H907" s="15">
        <v>0</v>
      </c>
      <c r="I907" s="15" t="s">
        <v>15</v>
      </c>
      <c r="J907" s="1"/>
      <c r="K907" s="1"/>
      <c r="L907" s="1"/>
      <c r="M907" s="1"/>
    </row>
    <row r="908" spans="1:13" x14ac:dyDescent="0.25">
      <c r="A908" s="1"/>
      <c r="B908" s="16" t="s">
        <v>15</v>
      </c>
      <c r="C908" s="15" t="s">
        <v>1819</v>
      </c>
      <c r="D908" s="15" t="s">
        <v>1820</v>
      </c>
      <c r="E908" s="16" t="s">
        <v>22</v>
      </c>
      <c r="F908" s="17"/>
      <c r="G908" cm="1">
        <f t="array" ref="G908">IFERROR(_xlfn.XLOOKUP(Pedido891011121412131617181921192223[[#This Row],[Id de Producto]],[1]!Precios[[#All],[Id de Producto]],[1]!Precios[[#All],[Coste estándar]])*Pedido891011121412131617181921192223[[#This Row],[Pedido]],0)</f>
        <v>0</v>
      </c>
      <c r="H908" s="18">
        <v>0</v>
      </c>
      <c r="I908" s="16" t="s">
        <v>15</v>
      </c>
      <c r="J908" s="1"/>
      <c r="K908" s="1"/>
      <c r="L908" s="1"/>
      <c r="M908" s="1"/>
    </row>
    <row r="909" spans="1:13" x14ac:dyDescent="0.25">
      <c r="A909" s="1"/>
      <c r="B909" s="15" t="s">
        <v>15</v>
      </c>
      <c r="C909" s="15" t="s">
        <v>1821</v>
      </c>
      <c r="D909" s="15" t="s">
        <v>1822</v>
      </c>
      <c r="E909" s="16" t="s">
        <v>26</v>
      </c>
      <c r="F909" s="17"/>
      <c r="G909" cm="1">
        <f t="array" ref="G909">IFERROR(_xlfn.XLOOKUP(Pedido891011121412131617181921192223[[#This Row],[Id de Producto]],[1]!Precios[[#All],[Id de Producto]],[1]!Precios[[#All],[Coste estándar]])*Pedido891011121412131617181921192223[[#This Row],[Pedido]],0)</f>
        <v>0</v>
      </c>
      <c r="H909" s="15">
        <v>0</v>
      </c>
      <c r="I909" s="15" t="s">
        <v>15</v>
      </c>
      <c r="J909" s="1"/>
      <c r="K909" s="1"/>
      <c r="L909" s="1"/>
      <c r="M909" s="1"/>
    </row>
    <row r="910" spans="1:13" x14ac:dyDescent="0.25">
      <c r="A910" s="1"/>
      <c r="B910" s="15" t="s">
        <v>15</v>
      </c>
      <c r="C910" s="15" t="s">
        <v>1823</v>
      </c>
      <c r="D910" s="15" t="s">
        <v>1824</v>
      </c>
      <c r="E910" s="16" t="s">
        <v>22</v>
      </c>
      <c r="F910" s="17"/>
      <c r="G910" cm="1">
        <f t="array" ref="G910">IFERROR(_xlfn.XLOOKUP(Pedido891011121412131617181921192223[[#This Row],[Id de Producto]],[1]!Precios[[#All],[Id de Producto]],[1]!Precios[[#All],[Coste estándar]])*Pedido891011121412131617181921192223[[#This Row],[Pedido]],0)</f>
        <v>0</v>
      </c>
      <c r="H910" s="15">
        <v>0</v>
      </c>
      <c r="I910" s="15" t="s">
        <v>15</v>
      </c>
      <c r="J910" s="1"/>
      <c r="K910" s="1"/>
      <c r="L910" s="1"/>
      <c r="M910" s="1"/>
    </row>
    <row r="911" spans="1:13" x14ac:dyDescent="0.25">
      <c r="A911" s="1"/>
      <c r="B911" s="15" t="s">
        <v>15</v>
      </c>
      <c r="C911" s="15" t="s">
        <v>1825</v>
      </c>
      <c r="D911" s="15" t="s">
        <v>1826</v>
      </c>
      <c r="E911" s="16" t="s">
        <v>26</v>
      </c>
      <c r="F911" s="17"/>
      <c r="G911" cm="1">
        <f t="array" ref="G911">IFERROR(_xlfn.XLOOKUP(Pedido891011121412131617181921192223[[#This Row],[Id de Producto]],[1]!Precios[[#All],[Id de Producto]],[1]!Precios[[#All],[Coste estándar]])*Pedido891011121412131617181921192223[[#This Row],[Pedido]],0)</f>
        <v>0</v>
      </c>
      <c r="H911" s="15">
        <v>0</v>
      </c>
      <c r="I911" s="15" t="s">
        <v>15</v>
      </c>
      <c r="J911" s="1"/>
      <c r="K911" s="1"/>
      <c r="L911" s="1"/>
      <c r="M911" s="1"/>
    </row>
    <row r="912" spans="1:13" x14ac:dyDescent="0.25">
      <c r="A912" s="1"/>
      <c r="B912" s="15" t="s">
        <v>15</v>
      </c>
      <c r="C912" s="15" t="s">
        <v>1827</v>
      </c>
      <c r="D912" s="15" t="s">
        <v>1828</v>
      </c>
      <c r="E912" s="16" t="s">
        <v>22</v>
      </c>
      <c r="F912" s="17"/>
      <c r="G912" cm="1">
        <f t="array" ref="G912">IFERROR(_xlfn.XLOOKUP(Pedido891011121412131617181921192223[[#This Row],[Id de Producto]],[1]!Precios[[#All],[Id de Producto]],[1]!Precios[[#All],[Coste estándar]])*Pedido891011121412131617181921192223[[#This Row],[Pedido]],0)</f>
        <v>0</v>
      </c>
      <c r="H912" s="15">
        <v>0</v>
      </c>
      <c r="I912" s="15" t="s">
        <v>15</v>
      </c>
      <c r="J912" s="1"/>
      <c r="K912" s="1"/>
      <c r="L912" s="1"/>
      <c r="M912" s="1"/>
    </row>
    <row r="913" spans="1:13" x14ac:dyDescent="0.25">
      <c r="A913" s="1"/>
      <c r="B913" s="15" t="s">
        <v>15</v>
      </c>
      <c r="C913" s="15" t="s">
        <v>1829</v>
      </c>
      <c r="D913" s="15" t="s">
        <v>1830</v>
      </c>
      <c r="E913" s="16" t="s">
        <v>22</v>
      </c>
      <c r="F913" s="17"/>
      <c r="G913" cm="1">
        <f t="array" ref="G913">IFERROR(_xlfn.XLOOKUP(Pedido891011121412131617181921192223[[#This Row],[Id de Producto]],[1]!Precios[[#All],[Id de Producto]],[1]!Precios[[#All],[Coste estándar]])*Pedido891011121412131617181921192223[[#This Row],[Pedido]],0)</f>
        <v>0</v>
      </c>
      <c r="H913" s="15">
        <v>0</v>
      </c>
      <c r="I913" s="15" t="s">
        <v>15</v>
      </c>
      <c r="J913" s="1"/>
      <c r="K913" s="1"/>
      <c r="L913" s="1"/>
      <c r="M913" s="1"/>
    </row>
    <row r="914" spans="1:13" x14ac:dyDescent="0.25">
      <c r="A914" s="1"/>
      <c r="B914" s="15" t="s">
        <v>15</v>
      </c>
      <c r="C914" s="15" t="s">
        <v>1831</v>
      </c>
      <c r="D914" s="15" t="s">
        <v>1832</v>
      </c>
      <c r="E914" s="16" t="s">
        <v>26</v>
      </c>
      <c r="F914" s="17"/>
      <c r="G914" cm="1">
        <f t="array" ref="G914">IFERROR(_xlfn.XLOOKUP(Pedido891011121412131617181921192223[[#This Row],[Id de Producto]],[1]!Precios[[#All],[Id de Producto]],[1]!Precios[[#All],[Coste estándar]])*Pedido891011121412131617181921192223[[#This Row],[Pedido]],0)</f>
        <v>0</v>
      </c>
      <c r="H914" s="15">
        <v>0</v>
      </c>
      <c r="I914" s="15" t="s">
        <v>15</v>
      </c>
      <c r="J914" s="1"/>
      <c r="K914" s="1"/>
      <c r="L914" s="1"/>
      <c r="M914" s="1"/>
    </row>
    <row r="915" spans="1:13" x14ac:dyDescent="0.25">
      <c r="A915" s="1"/>
      <c r="B915" s="16" t="s">
        <v>15</v>
      </c>
      <c r="C915" s="15" t="s">
        <v>1833</v>
      </c>
      <c r="D915" s="15" t="s">
        <v>1834</v>
      </c>
      <c r="E915" s="16" t="s">
        <v>22</v>
      </c>
      <c r="F915" s="17"/>
      <c r="G915" cm="1">
        <f t="array" ref="G915">IFERROR(_xlfn.XLOOKUP(Pedido891011121412131617181921192223[[#This Row],[Id de Producto]],[1]!Precios[[#All],[Id de Producto]],[1]!Precios[[#All],[Coste estándar]])*Pedido891011121412131617181921192223[[#This Row],[Pedido]],0)</f>
        <v>0</v>
      </c>
      <c r="H915" s="18">
        <v>0</v>
      </c>
      <c r="I915" s="16" t="s">
        <v>15</v>
      </c>
      <c r="J915" s="1"/>
      <c r="K915" s="1"/>
      <c r="L915" s="1"/>
      <c r="M915" s="1"/>
    </row>
    <row r="916" spans="1:13" x14ac:dyDescent="0.25">
      <c r="A916" s="1"/>
      <c r="B916" s="16" t="s">
        <v>15</v>
      </c>
      <c r="C916" s="15" t="s">
        <v>1835</v>
      </c>
      <c r="D916" s="15" t="s">
        <v>1836</v>
      </c>
      <c r="E916" s="16" t="s">
        <v>22</v>
      </c>
      <c r="F916" s="17"/>
      <c r="G916" cm="1">
        <f t="array" ref="G916">IFERROR(_xlfn.XLOOKUP(Pedido891011121412131617181921192223[[#This Row],[Id de Producto]],[1]!Precios[[#All],[Id de Producto]],[1]!Precios[[#All],[Coste estándar]])*Pedido891011121412131617181921192223[[#This Row],[Pedido]],0)</f>
        <v>0</v>
      </c>
      <c r="H916" s="18">
        <v>0</v>
      </c>
      <c r="I916" s="16" t="s">
        <v>15</v>
      </c>
      <c r="J916" s="1"/>
      <c r="K916" s="1"/>
      <c r="L916" s="1"/>
      <c r="M916" s="1"/>
    </row>
    <row r="917" spans="1:13" x14ac:dyDescent="0.25">
      <c r="A917" s="1"/>
      <c r="B917" s="16" t="s">
        <v>15</v>
      </c>
      <c r="C917" s="15" t="s">
        <v>1837</v>
      </c>
      <c r="D917" s="15" t="s">
        <v>1838</v>
      </c>
      <c r="E917" s="16" t="s">
        <v>22</v>
      </c>
      <c r="F917" s="17"/>
      <c r="G917" cm="1">
        <f t="array" ref="G917">IFERROR(_xlfn.XLOOKUP(Pedido891011121412131617181921192223[[#This Row],[Id de Producto]],[1]!Precios[[#All],[Id de Producto]],[1]!Precios[[#All],[Coste estándar]])*Pedido891011121412131617181921192223[[#This Row],[Pedido]],0)</f>
        <v>0</v>
      </c>
      <c r="H917" s="18">
        <v>0</v>
      </c>
      <c r="I917" s="16" t="s">
        <v>15</v>
      </c>
      <c r="J917" s="1"/>
      <c r="K917" s="1"/>
      <c r="L917" s="1"/>
      <c r="M917" s="1"/>
    </row>
    <row r="918" spans="1:13" x14ac:dyDescent="0.25">
      <c r="A918" s="1"/>
      <c r="B918" s="16" t="s">
        <v>15</v>
      </c>
      <c r="C918" s="15" t="s">
        <v>1839</v>
      </c>
      <c r="D918" s="15" t="s">
        <v>1840</v>
      </c>
      <c r="E918" s="16" t="s">
        <v>26</v>
      </c>
      <c r="F918" s="17"/>
      <c r="G918" cm="1">
        <f t="array" ref="G918">IFERROR(_xlfn.XLOOKUP(Pedido891011121412131617181921192223[[#This Row],[Id de Producto]],[1]!Precios[[#All],[Id de Producto]],[1]!Precios[[#All],[Coste estándar]])*Pedido891011121412131617181921192223[[#This Row],[Pedido]],0)</f>
        <v>0</v>
      </c>
      <c r="H918" s="18">
        <v>0</v>
      </c>
      <c r="I918" s="16" t="s">
        <v>15</v>
      </c>
      <c r="J918" s="1"/>
      <c r="K918" s="1"/>
      <c r="L918" s="1"/>
      <c r="M918" s="1"/>
    </row>
    <row r="919" spans="1:13" x14ac:dyDescent="0.25">
      <c r="A919" s="1"/>
      <c r="B919" s="16" t="s">
        <v>15</v>
      </c>
      <c r="C919" s="15" t="s">
        <v>1841</v>
      </c>
      <c r="D919" s="15" t="s">
        <v>1842</v>
      </c>
      <c r="E919" s="16" t="s">
        <v>18</v>
      </c>
      <c r="F919" s="17"/>
      <c r="G919" cm="1">
        <f t="array" ref="G919">IFERROR(_xlfn.XLOOKUP(Pedido891011121412131617181921192223[[#This Row],[Id de Producto]],[1]!Precios[[#All],[Id de Producto]],[1]!Precios[[#All],[Coste estándar]])*Pedido891011121412131617181921192223[[#This Row],[Pedido]],0)</f>
        <v>0</v>
      </c>
      <c r="H919" s="18">
        <v>0</v>
      </c>
      <c r="I919" s="16" t="s">
        <v>15</v>
      </c>
      <c r="J919" s="1"/>
      <c r="K919" s="1"/>
      <c r="L919" s="1"/>
      <c r="M919" s="1"/>
    </row>
    <row r="920" spans="1:13" x14ac:dyDescent="0.25">
      <c r="A920" s="1"/>
      <c r="B920" s="16" t="s">
        <v>15</v>
      </c>
      <c r="C920" s="15" t="s">
        <v>1843</v>
      </c>
      <c r="D920" s="15" t="s">
        <v>1844</v>
      </c>
      <c r="E920" s="16" t="s">
        <v>120</v>
      </c>
      <c r="F920" s="17"/>
      <c r="G920" cm="1">
        <f t="array" ref="G920">IFERROR(_xlfn.XLOOKUP(Pedido891011121412131617181921192223[[#This Row],[Id de Producto]],[1]!Precios[[#All],[Id de Producto]],[1]!Precios[[#All],[Coste estándar]])*Pedido891011121412131617181921192223[[#This Row],[Pedido]],0)</f>
        <v>0</v>
      </c>
      <c r="H920" s="18">
        <v>0</v>
      </c>
      <c r="I920" s="16" t="s">
        <v>15</v>
      </c>
      <c r="J920" s="1"/>
      <c r="K920" s="1"/>
      <c r="L920" s="1"/>
      <c r="M920" s="1"/>
    </row>
    <row r="921" spans="1:13" x14ac:dyDescent="0.25">
      <c r="A921" s="1"/>
      <c r="B921" s="2"/>
      <c r="C921" s="2"/>
      <c r="D921" s="2"/>
      <c r="E921" s="2"/>
      <c r="F921" s="1"/>
      <c r="G921" s="1"/>
      <c r="I921" s="1"/>
      <c r="J921" s="1"/>
      <c r="K921" s="1"/>
      <c r="L921" s="1"/>
      <c r="M921" s="1"/>
    </row>
    <row r="922" spans="1:13" x14ac:dyDescent="0.25">
      <c r="A922" s="1"/>
      <c r="B922" s="2"/>
      <c r="C922" s="2"/>
      <c r="D922" s="2"/>
      <c r="E922" s="2"/>
      <c r="F922" s="1"/>
      <c r="G922" s="1"/>
      <c r="I922" s="1"/>
      <c r="J922" s="1"/>
      <c r="K922" s="1"/>
      <c r="L922" s="1"/>
      <c r="M922" s="1"/>
    </row>
    <row r="923" spans="1:13" x14ac:dyDescent="0.25">
      <c r="A923" s="1"/>
      <c r="B923" s="2"/>
      <c r="C923" s="2"/>
      <c r="D923" s="2"/>
      <c r="E923" s="2"/>
      <c r="F923" s="1"/>
      <c r="G923" s="1"/>
      <c r="I923" s="1"/>
      <c r="J923" s="1"/>
      <c r="K923" s="1"/>
      <c r="L923" s="1"/>
      <c r="M923" s="1"/>
    </row>
    <row r="924" spans="1:13" x14ac:dyDescent="0.25">
      <c r="A924" s="1"/>
      <c r="B924" s="2"/>
      <c r="C924" s="2"/>
      <c r="D924" s="2"/>
      <c r="E924" s="2"/>
      <c r="F924" s="1"/>
      <c r="G924" s="1"/>
      <c r="I924" s="1"/>
      <c r="J924" s="1"/>
      <c r="K924" s="1"/>
      <c r="L924" s="1"/>
      <c r="M924" s="1"/>
    </row>
    <row r="925" spans="1:13" x14ac:dyDescent="0.25">
      <c r="A925" s="1"/>
      <c r="B925" s="2"/>
      <c r="C925" s="2"/>
      <c r="D925" s="2"/>
      <c r="E925" s="2"/>
      <c r="F925" s="1"/>
      <c r="G925" s="1"/>
      <c r="I925" s="1"/>
      <c r="J925" s="1"/>
      <c r="K925" s="1"/>
      <c r="L925" s="1"/>
      <c r="M925" s="1"/>
    </row>
    <row r="926" spans="1:13" x14ac:dyDescent="0.25">
      <c r="A926" s="1"/>
      <c r="B926" s="2"/>
      <c r="C926" s="2"/>
      <c r="D926" s="2"/>
      <c r="E926" s="2"/>
      <c r="F926" s="1"/>
      <c r="G926" s="1"/>
      <c r="I926" s="1"/>
      <c r="J926" s="1"/>
      <c r="K926" s="1"/>
      <c r="L926" s="1"/>
      <c r="M926" s="1"/>
    </row>
    <row r="927" spans="1:13" x14ac:dyDescent="0.25">
      <c r="A927" s="1"/>
      <c r="B927" s="2"/>
      <c r="C927" s="2"/>
      <c r="D927" s="2"/>
      <c r="E927" s="2"/>
      <c r="F927" s="1"/>
      <c r="G927" s="1"/>
      <c r="I927" s="1"/>
      <c r="J927" s="1"/>
      <c r="K927" s="1"/>
      <c r="L927" s="1"/>
      <c r="M927" s="1"/>
    </row>
    <row r="928" spans="1:13" x14ac:dyDescent="0.25">
      <c r="A928" s="1"/>
      <c r="B928" s="2"/>
      <c r="C928" s="2"/>
      <c r="D928" s="2"/>
      <c r="E928" s="2"/>
      <c r="F928" s="1"/>
      <c r="G928" s="1"/>
      <c r="I928" s="1"/>
      <c r="J928" s="1"/>
      <c r="K928" s="1"/>
      <c r="L928" s="1"/>
      <c r="M928" s="1"/>
    </row>
    <row r="929" spans="1:13" x14ac:dyDescent="0.25">
      <c r="A929" s="1"/>
      <c r="B929" s="2"/>
      <c r="C929" s="2"/>
      <c r="D929" s="2"/>
      <c r="E929" s="2"/>
      <c r="F929" s="1"/>
      <c r="G929" s="1"/>
      <c r="I929" s="1"/>
      <c r="J929" s="1"/>
      <c r="K929" s="1"/>
      <c r="L929" s="1"/>
      <c r="M929" s="1"/>
    </row>
    <row r="930" spans="1:13" x14ac:dyDescent="0.25">
      <c r="A930" s="1"/>
      <c r="B930" s="2"/>
      <c r="C930" s="2"/>
      <c r="D930" s="2"/>
      <c r="E930" s="2"/>
      <c r="F930" s="1"/>
      <c r="G930" s="1"/>
      <c r="I930" s="1"/>
      <c r="J930" s="1"/>
      <c r="K930" s="1"/>
      <c r="L930" s="1"/>
      <c r="M930" s="1"/>
    </row>
    <row r="931" spans="1:13" x14ac:dyDescent="0.25">
      <c r="A931" s="1"/>
      <c r="B931" s="2"/>
      <c r="C931" s="2"/>
      <c r="D931" s="2"/>
      <c r="E931" s="2"/>
      <c r="F931" s="1"/>
      <c r="G931" s="1"/>
      <c r="I931" s="1"/>
      <c r="J931" s="1"/>
      <c r="K931" s="1"/>
      <c r="L931" s="1"/>
      <c r="M931" s="1"/>
    </row>
    <row r="932" spans="1:13" x14ac:dyDescent="0.25">
      <c r="A932" s="1"/>
      <c r="B932" s="2"/>
      <c r="C932" s="2"/>
      <c r="D932" s="2"/>
      <c r="E932" s="2"/>
      <c r="F932" s="1"/>
      <c r="G932" s="1"/>
      <c r="I932" s="1"/>
      <c r="J932" s="1"/>
      <c r="K932" s="1"/>
      <c r="L932" s="1"/>
      <c r="M932" s="1"/>
    </row>
    <row r="933" spans="1:13" x14ac:dyDescent="0.25">
      <c r="A933" s="1"/>
      <c r="B933" s="2"/>
      <c r="C933" s="2"/>
      <c r="D933" s="2"/>
      <c r="E933" s="2"/>
      <c r="F933" s="1"/>
      <c r="G933" s="1"/>
      <c r="I933" s="1"/>
      <c r="J933" s="1"/>
      <c r="K933" s="1"/>
      <c r="L933" s="1"/>
      <c r="M933" s="1"/>
    </row>
    <row r="934" spans="1:13" hidden="1" x14ac:dyDescent="0.25">
      <c r="A934" s="1"/>
      <c r="B934" s="2"/>
      <c r="C934" s="2"/>
      <c r="D934" s="2"/>
      <c r="E934" s="2"/>
      <c r="F934" s="1"/>
      <c r="G934" s="1"/>
      <c r="I934" s="1"/>
      <c r="J934" s="1"/>
      <c r="K934" s="1"/>
      <c r="L934" s="1"/>
      <c r="M934" s="1"/>
    </row>
    <row r="935" spans="1:13" x14ac:dyDescent="0.25"/>
    <row r="936" spans="1:13" x14ac:dyDescent="0.25"/>
  </sheetData>
  <sheetProtection autoFilter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Recanvis 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Marquez Brugal</dc:creator>
  <cp:lastModifiedBy>Sergio Marquez Brugal</cp:lastModifiedBy>
  <dcterms:created xsi:type="dcterms:W3CDTF">2026-02-20T12:37:05Z</dcterms:created>
  <dcterms:modified xsi:type="dcterms:W3CDTF">2026-02-20T12:37:26Z</dcterms:modified>
</cp:coreProperties>
</file>